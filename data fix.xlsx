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age\SKRIPSI\nutrisi web\"/>
    </mc:Choice>
  </mc:AlternateContent>
  <xr:revisionPtr revIDLastSave="0" documentId="13_ncr:1_{DF248BF4-B26B-4788-BB91-A9927D83E90E}" xr6:coauthVersionLast="47" xr6:coauthVersionMax="47" xr10:uidLastSave="{00000000-0000-0000-0000-000000000000}"/>
  <bookViews>
    <workbookView xWindow="1170" yWindow="1170" windowWidth="15375" windowHeight="832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0" i="1" l="1"/>
  <c r="I190" i="1"/>
  <c r="H190" i="1"/>
  <c r="G190" i="1"/>
  <c r="J191" i="1"/>
  <c r="I191" i="1"/>
  <c r="H191" i="1"/>
  <c r="G191" i="1"/>
  <c r="J192" i="1"/>
  <c r="I192" i="1"/>
  <c r="H192" i="1"/>
  <c r="G192" i="1"/>
  <c r="J193" i="1"/>
  <c r="I193" i="1"/>
  <c r="H193" i="1"/>
  <c r="G193" i="1"/>
  <c r="J194" i="1"/>
  <c r="I194" i="1"/>
  <c r="H194" i="1"/>
  <c r="G194" i="1"/>
  <c r="J196" i="1"/>
  <c r="I196" i="1"/>
  <c r="H196" i="1"/>
  <c r="G196" i="1"/>
  <c r="J195" i="1"/>
  <c r="I195" i="1"/>
  <c r="H195" i="1"/>
  <c r="G195" i="1"/>
  <c r="J197" i="1"/>
  <c r="I197" i="1"/>
  <c r="H197" i="1"/>
  <c r="G197" i="1"/>
  <c r="J198" i="1"/>
  <c r="I198" i="1"/>
  <c r="H198" i="1"/>
  <c r="G198" i="1"/>
  <c r="J199" i="1"/>
  <c r="I199" i="1"/>
  <c r="H199" i="1"/>
  <c r="G199" i="1"/>
  <c r="J200" i="1"/>
  <c r="I200" i="1"/>
  <c r="H200" i="1"/>
  <c r="G200" i="1"/>
  <c r="J201" i="1"/>
  <c r="I201" i="1"/>
  <c r="H201" i="1"/>
  <c r="G201" i="1"/>
  <c r="J202" i="1"/>
  <c r="I202" i="1"/>
  <c r="H202" i="1"/>
  <c r="G202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21" i="1"/>
  <c r="I21" i="1"/>
  <c r="H21" i="1"/>
  <c r="G21" i="1"/>
  <c r="J176" i="1"/>
  <c r="I176" i="1"/>
  <c r="H176" i="1"/>
  <c r="G176" i="1"/>
  <c r="J175" i="1"/>
  <c r="I175" i="1"/>
  <c r="H175" i="1"/>
  <c r="G175" i="1"/>
  <c r="J170" i="1"/>
  <c r="I170" i="1"/>
  <c r="H170" i="1"/>
  <c r="G170" i="1"/>
  <c r="J163" i="1"/>
  <c r="I163" i="1"/>
  <c r="H163" i="1"/>
  <c r="G163" i="1"/>
  <c r="J159" i="1"/>
  <c r="I159" i="1"/>
  <c r="H159" i="1"/>
  <c r="G159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J38" i="1"/>
  <c r="G127" i="1"/>
  <c r="J126" i="1"/>
  <c r="I126" i="1"/>
  <c r="H126" i="1"/>
  <c r="G126" i="1"/>
  <c r="J125" i="1"/>
  <c r="I125" i="1"/>
  <c r="H125" i="1"/>
  <c r="G125" i="1"/>
  <c r="J114" i="1"/>
  <c r="I114" i="1"/>
  <c r="H114" i="1"/>
  <c r="G114" i="1"/>
  <c r="J113" i="1"/>
  <c r="I113" i="1"/>
  <c r="H113" i="1"/>
  <c r="G113" i="1"/>
  <c r="J106" i="1"/>
  <c r="J105" i="1"/>
  <c r="J104" i="1"/>
  <c r="I106" i="1"/>
  <c r="I105" i="1"/>
  <c r="I104" i="1"/>
  <c r="H106" i="1"/>
  <c r="H105" i="1"/>
  <c r="H104" i="1"/>
  <c r="G110" i="1"/>
  <c r="G109" i="1"/>
  <c r="G108" i="1"/>
  <c r="G107" i="1"/>
  <c r="G106" i="1"/>
  <c r="G105" i="1"/>
  <c r="G104" i="1"/>
  <c r="J103" i="1"/>
  <c r="I103" i="1"/>
  <c r="H103" i="1"/>
  <c r="G103" i="1"/>
  <c r="J98" i="1"/>
  <c r="I98" i="1"/>
  <c r="H98" i="1"/>
  <c r="G98" i="1"/>
  <c r="J66" i="1"/>
  <c r="I66" i="1"/>
  <c r="H66" i="1"/>
  <c r="G66" i="1"/>
  <c r="J63" i="1"/>
  <c r="I63" i="1"/>
  <c r="H63" i="1"/>
  <c r="G63" i="1"/>
  <c r="J62" i="1"/>
  <c r="I62" i="1"/>
  <c r="J46" i="1"/>
  <c r="I46" i="1"/>
  <c r="H46" i="1"/>
  <c r="G46" i="1"/>
  <c r="J39" i="1"/>
  <c r="I39" i="1"/>
  <c r="H39" i="1"/>
  <c r="G39" i="1"/>
  <c r="J180" i="1"/>
  <c r="I180" i="1"/>
  <c r="H180" i="1"/>
  <c r="G180" i="1"/>
  <c r="J174" i="1"/>
  <c r="I174" i="1"/>
  <c r="H174" i="1"/>
  <c r="G174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G158" i="1"/>
  <c r="J154" i="1"/>
  <c r="I154" i="1"/>
  <c r="H154" i="1"/>
  <c r="G154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24" i="1"/>
  <c r="I124" i="1"/>
  <c r="H124" i="1"/>
  <c r="G124" i="1"/>
  <c r="J123" i="1"/>
  <c r="I123" i="1"/>
  <c r="H123" i="1"/>
  <c r="H122" i="1"/>
  <c r="G123" i="1"/>
  <c r="J122" i="1"/>
  <c r="I122" i="1"/>
  <c r="G122" i="1"/>
  <c r="J121" i="1"/>
  <c r="I121" i="1"/>
  <c r="G121" i="1"/>
  <c r="J120" i="1"/>
  <c r="I120" i="1"/>
  <c r="H120" i="1"/>
  <c r="G120" i="1"/>
  <c r="J116" i="1"/>
  <c r="I116" i="1"/>
  <c r="H116" i="1"/>
  <c r="J111" i="1"/>
  <c r="I111" i="1"/>
  <c r="H111" i="1"/>
  <c r="G111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7" i="1"/>
  <c r="I97" i="1"/>
  <c r="H97" i="1"/>
  <c r="G97" i="1"/>
  <c r="J96" i="1"/>
  <c r="I96" i="1"/>
  <c r="H96" i="1"/>
  <c r="G96" i="1"/>
  <c r="J95" i="1"/>
  <c r="I95" i="1"/>
  <c r="H95" i="1"/>
  <c r="G95" i="1"/>
  <c r="I91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4" i="1"/>
  <c r="I74" i="1"/>
  <c r="H74" i="1"/>
  <c r="G74" i="1"/>
  <c r="J73" i="1"/>
  <c r="I73" i="1"/>
  <c r="H73" i="1"/>
  <c r="G73" i="1"/>
  <c r="J72" i="1"/>
  <c r="I72" i="1"/>
  <c r="H72" i="1"/>
  <c r="G72" i="1"/>
  <c r="G71" i="1"/>
  <c r="J71" i="1"/>
  <c r="I71" i="1"/>
  <c r="H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G67" i="1"/>
  <c r="H67" i="1"/>
  <c r="J65" i="1"/>
  <c r="I65" i="1"/>
  <c r="H65" i="1"/>
  <c r="G65" i="1"/>
  <c r="J64" i="1"/>
  <c r="I64" i="1"/>
  <c r="H64" i="1"/>
  <c r="G64" i="1"/>
  <c r="J61" i="1"/>
  <c r="I61" i="1"/>
  <c r="H61" i="1"/>
  <c r="G61" i="1"/>
  <c r="J60" i="1"/>
  <c r="I60" i="1"/>
  <c r="H60" i="1"/>
  <c r="G60" i="1"/>
  <c r="J53" i="1"/>
  <c r="J52" i="1"/>
  <c r="J51" i="1"/>
  <c r="J50" i="1"/>
  <c r="J58" i="1"/>
  <c r="J59" i="1"/>
  <c r="I59" i="1"/>
  <c r="H59" i="1"/>
  <c r="G59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I53" i="1"/>
  <c r="H53" i="1"/>
  <c r="G53" i="1"/>
  <c r="I52" i="1"/>
  <c r="H52" i="1"/>
  <c r="G52" i="1"/>
  <c r="I51" i="1"/>
  <c r="H51" i="1"/>
  <c r="G51" i="1"/>
  <c r="I50" i="1"/>
  <c r="H50" i="1"/>
  <c r="G50" i="1"/>
  <c r="J49" i="1"/>
  <c r="I49" i="1"/>
  <c r="H49" i="1"/>
  <c r="G49" i="1"/>
  <c r="J47" i="1"/>
  <c r="J48" i="1"/>
  <c r="I48" i="1"/>
  <c r="I47" i="1"/>
  <c r="H47" i="1"/>
  <c r="H48" i="1"/>
  <c r="G48" i="1"/>
  <c r="G47" i="1"/>
  <c r="G45" i="1"/>
  <c r="J41" i="1"/>
  <c r="I41" i="1"/>
  <c r="H41" i="1"/>
  <c r="G41" i="1"/>
  <c r="J40" i="1"/>
  <c r="I40" i="1"/>
  <c r="H40" i="1"/>
  <c r="G40" i="1"/>
  <c r="I38" i="1"/>
  <c r="G38" i="1"/>
  <c r="H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J3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I3" i="1"/>
  <c r="H3" i="1"/>
  <c r="G3" i="1"/>
</calcChain>
</file>

<file path=xl/sharedStrings.xml><?xml version="1.0" encoding="utf-8"?>
<sst xmlns="http://schemas.openxmlformats.org/spreadsheetml/2006/main" count="247" uniqueCount="246">
  <si>
    <t>ID</t>
  </si>
  <si>
    <t>Restoran</t>
  </si>
  <si>
    <t>Nama</t>
  </si>
  <si>
    <t>Harga</t>
  </si>
  <si>
    <t>Kalori</t>
  </si>
  <si>
    <t>Protein</t>
  </si>
  <si>
    <t>Lemak</t>
  </si>
  <si>
    <t>Karbohidrat</t>
  </si>
  <si>
    <t>Wm Mantap Jaya Mas Bro</t>
  </si>
  <si>
    <t>Nasi Ayam Kecap</t>
  </si>
  <si>
    <t>Nasi Ayam Orak Arik</t>
  </si>
  <si>
    <t>Nasi Ayam Orak Arik Telur</t>
  </si>
  <si>
    <t>Nasi Ayam Capcay</t>
  </si>
  <si>
    <t>Nasi Ayam Kecap Telur</t>
  </si>
  <si>
    <t xml:space="preserve">Nasi Ayam Geprek </t>
  </si>
  <si>
    <t>Nasi Ayam Geprek Telur</t>
  </si>
  <si>
    <t>Nasi Ayam Sambel Kentang</t>
  </si>
  <si>
    <t>Nasi Ayam Bali</t>
  </si>
  <si>
    <t>Nasi Goreng Telor</t>
  </si>
  <si>
    <t>Mie Goreng Telor</t>
  </si>
  <si>
    <t>Bubur Kacang Hijau</t>
  </si>
  <si>
    <t>AGS 07 Degolan</t>
  </si>
  <si>
    <t>Nasi Ayam Bakar</t>
  </si>
  <si>
    <t>Nasi Ati Ampela</t>
  </si>
  <si>
    <t>Nasi Nila Bakar</t>
  </si>
  <si>
    <t>Nasi Lele Bakar</t>
  </si>
  <si>
    <t>Warung Makan Bu Sofi</t>
  </si>
  <si>
    <t>Nasi Tuna</t>
  </si>
  <si>
    <t>Nasi Kerang</t>
  </si>
  <si>
    <t>Nasi Telur</t>
  </si>
  <si>
    <t>Nasi Uduk Paru Pakdi</t>
  </si>
  <si>
    <t>Nasi Uduk Paru</t>
  </si>
  <si>
    <t>Nasi Uduk Telur Dadar</t>
  </si>
  <si>
    <t>Nasi Uduk Ayam</t>
  </si>
  <si>
    <t>Nasi Kuning Melody</t>
  </si>
  <si>
    <t>Nasi Kuning Ayam Goreng</t>
  </si>
  <si>
    <t>Nasi Kuning Telur Balado</t>
  </si>
  <si>
    <t xml:space="preserve">Nasi Mangkok Uncle Dave </t>
  </si>
  <si>
    <t>Ricebowl Chicken Blackpepper</t>
  </si>
  <si>
    <t>Ricebowl Chicken Curry</t>
  </si>
  <si>
    <t>Ricebowl Chicken Mentai</t>
  </si>
  <si>
    <t>Ricebowl Chicken Sweet and Sour</t>
  </si>
  <si>
    <t>Colonial Rice Bowl</t>
  </si>
  <si>
    <t>Teriyaki Chicken</t>
  </si>
  <si>
    <t>Padang Sauce Chicken</t>
  </si>
  <si>
    <t>Spicy BBQ Chicken</t>
  </si>
  <si>
    <t>RicaRica Chicken</t>
  </si>
  <si>
    <t>Nashville Spice Chicken</t>
  </si>
  <si>
    <t>Hot Mayo Chicken</t>
  </si>
  <si>
    <t>Nasi Goreng Cabe Ijo</t>
  </si>
  <si>
    <t>Nasi Goreng Kari</t>
  </si>
  <si>
    <t>Nasi Goreng Lada Hitam</t>
  </si>
  <si>
    <t>KOTO Rendang</t>
  </si>
  <si>
    <t>Nasi Rendang Koto dan Katsu</t>
  </si>
  <si>
    <t>Bubur Ayam Yu Arra</t>
  </si>
  <si>
    <t xml:space="preserve">Bubur Ayam </t>
  </si>
  <si>
    <t>Bubur Ayam Telur</t>
  </si>
  <si>
    <t xml:space="preserve">Bubur Ayam Telur Asin </t>
  </si>
  <si>
    <t>Bubur Ayam Rendang</t>
  </si>
  <si>
    <t>Bubur Rendang</t>
  </si>
  <si>
    <t>New Seafood 99 Bakar dan Goreng UII</t>
  </si>
  <si>
    <t>Nasi Cumi Asam Manis dan Capcay</t>
  </si>
  <si>
    <t>Nasi Cumi Rica-rica dan Capcay</t>
  </si>
  <si>
    <t>Nasi Cumi Tepung dan Capcay</t>
  </si>
  <si>
    <t>Nasi Udang Tepung dan Capcay</t>
  </si>
  <si>
    <t>Nasi Udang Mentega dan Capcay</t>
  </si>
  <si>
    <t>Nasi Puyunghai dan Capcay</t>
  </si>
  <si>
    <t>Ifu Mie</t>
  </si>
  <si>
    <t>Nasi Goreng Ikan Asin</t>
  </si>
  <si>
    <t>Nasi Sapi Lada Hitam</t>
  </si>
  <si>
    <t>Dapur Ibu</t>
  </si>
  <si>
    <t>Nasi Ayam Lada Hitam</t>
  </si>
  <si>
    <t>Nasi Ayam Saus Rica</t>
  </si>
  <si>
    <t>Nasi Iga Bakar</t>
  </si>
  <si>
    <t>Nasi Soto Betawi</t>
  </si>
  <si>
    <t>Nasi Sop Buntut</t>
  </si>
  <si>
    <t>Nasi Goreng Ayam</t>
  </si>
  <si>
    <t>Nasi Goreng Sapi</t>
  </si>
  <si>
    <t>Ayam Jalapeno</t>
  </si>
  <si>
    <t>Nasi Ayam Tongseng</t>
  </si>
  <si>
    <t>Nasi Ayam Jalapeno</t>
  </si>
  <si>
    <t>Nasi Ayam Srundeng</t>
  </si>
  <si>
    <t>Nasi Ayam Goreng</t>
  </si>
  <si>
    <t>Nasi Ayam Bakar Jalapeno</t>
  </si>
  <si>
    <t>Rumah Makan dan Sate Padang Andalas UII</t>
  </si>
  <si>
    <t xml:space="preserve">Sate Padang </t>
  </si>
  <si>
    <t>Nasi Rendang Daging</t>
  </si>
  <si>
    <t>Nasi Dendeng Balado</t>
  </si>
  <si>
    <t>Nasi Rendang Paru</t>
  </si>
  <si>
    <t>Nasi Gulai Kikil</t>
  </si>
  <si>
    <t>Nasi Gulai Limpa</t>
  </si>
  <si>
    <t>Nasi Gulai Paru</t>
  </si>
  <si>
    <t>Nasi Ayam Gulai</t>
  </si>
  <si>
    <t>Nasi Ayam Goreng Balado</t>
  </si>
  <si>
    <t>Nasi Ikan Kembung Goreng</t>
  </si>
  <si>
    <t>Nasi Ikan Lele</t>
  </si>
  <si>
    <t>Nasi Telur Dadar</t>
  </si>
  <si>
    <t>Nasi Perkedel</t>
  </si>
  <si>
    <t>Nasi Jengkol Balado</t>
  </si>
  <si>
    <t>Nasi Sayur</t>
  </si>
  <si>
    <t>Nasi Ikan Nila Goreng</t>
  </si>
  <si>
    <t>Nasi Telur Bulat Balado</t>
  </si>
  <si>
    <t>Warmindo Bianglala UII</t>
  </si>
  <si>
    <t>Nasi Sambel Teri</t>
  </si>
  <si>
    <t>Nasi Sarden</t>
  </si>
  <si>
    <t>Magelangan</t>
  </si>
  <si>
    <t>Nasi Bakar DuaSodara UII</t>
  </si>
  <si>
    <t>Nasi Bakar Cumi Hitam</t>
  </si>
  <si>
    <t>Nasi Bakar Cumi Sambel Ijo</t>
  </si>
  <si>
    <t>Nasi Bakar Ayam Sambal Ijo</t>
  </si>
  <si>
    <t>Nasi Bakar Ayam Bali</t>
  </si>
  <si>
    <t>Nasi Bakar Ayam Rica</t>
  </si>
  <si>
    <t>Nasi Bakar Cumi Rica</t>
  </si>
  <si>
    <t>Kebuli Annajah UII</t>
  </si>
  <si>
    <t>Nasi Kebuli Ayam Geprek</t>
  </si>
  <si>
    <t>Nasi Kebuli Ayam Panggang</t>
  </si>
  <si>
    <t>Nasi Kebuli Ayam Goreng</t>
  </si>
  <si>
    <t>Nasi Kebuli Ayam Bali</t>
  </si>
  <si>
    <t>Ayam Goreng Tengkleng Rica, Yuk Marie UII</t>
  </si>
  <si>
    <t>Nasi Tom Yam Ayam</t>
  </si>
  <si>
    <t>Nasi Bandeng Presto Goreng</t>
  </si>
  <si>
    <t>Nasi Sayur Sawi dan Telur Dadar</t>
  </si>
  <si>
    <t>Nasi Rica Ceker</t>
  </si>
  <si>
    <t>Sate Ayam Madura Cak Fadli</t>
  </si>
  <si>
    <t>Sate Ayam 7 Tusuk dan Nasi</t>
  </si>
  <si>
    <t>Sate Ayam 10 Tusuk dan Nasi</t>
  </si>
  <si>
    <t>Sate Ayam 13 Tusuk dan Nasi</t>
  </si>
  <si>
    <t>Sate Ayam 15 Tusuk dan Nasi</t>
  </si>
  <si>
    <t>Sate Ayam 10 Tusuk dan Lontong</t>
  </si>
  <si>
    <t>Sate Ayam 12 Tusuk dan Lontong</t>
  </si>
  <si>
    <t>Sate Ayam 13 Tusuk dan Lontong</t>
  </si>
  <si>
    <t>Sate Ayam 15 Tusuk dan Lontong</t>
  </si>
  <si>
    <t>Mie Ayam Semangat</t>
  </si>
  <si>
    <t>Mie Ayam Pangsit</t>
  </si>
  <si>
    <t>Bakso Urat</t>
  </si>
  <si>
    <t>Gudeg Wijilan Bu Dewi</t>
  </si>
  <si>
    <t>Nasi Gudeg dan Telur</t>
  </si>
  <si>
    <t>Nasi Gudeg, Telur dan Tahu</t>
  </si>
  <si>
    <t>GG Salad Sayur</t>
  </si>
  <si>
    <t>Vietnam Roll</t>
  </si>
  <si>
    <t>Salad Sayur Ayam</t>
  </si>
  <si>
    <t xml:space="preserve">Salad Sayur </t>
  </si>
  <si>
    <t>Salad Sayur Bakso</t>
  </si>
  <si>
    <t>Salad Sayur Telur</t>
  </si>
  <si>
    <t>Chia Pudding</t>
  </si>
  <si>
    <t>Ketoprak Senja Malam</t>
  </si>
  <si>
    <t>Ketoprak Biasa</t>
  </si>
  <si>
    <t>Ketoprak Toping Telur</t>
  </si>
  <si>
    <t>Ketoprak Toping Telur Rebus</t>
  </si>
  <si>
    <t>Ketoprak Toping Bakso</t>
  </si>
  <si>
    <t>Nasi Ayam Sayur</t>
  </si>
  <si>
    <t>Nasi Ayam Cah Kangkung</t>
  </si>
  <si>
    <t>Nasi Ayam Kentang</t>
  </si>
  <si>
    <t>Nasi Ayam Cah Jamur</t>
  </si>
  <si>
    <t>Nasi Ayam Gajebo</t>
  </si>
  <si>
    <t>Bakmi Surabaya Pak Jimmy</t>
  </si>
  <si>
    <t>Bakmi Goreng Spesial</t>
  </si>
  <si>
    <t>Bakmi Goreng Sosis</t>
  </si>
  <si>
    <t>Bakmi Goreng Nugget</t>
  </si>
  <si>
    <t>Bakmi Goreng Bakso</t>
  </si>
  <si>
    <t>Bakmi Goreng Teri</t>
  </si>
  <si>
    <t>Bakmi Goreng Ati Ampela</t>
  </si>
  <si>
    <t>Bihun Goreng</t>
  </si>
  <si>
    <t>Bihun Goreng Spesial</t>
  </si>
  <si>
    <t>Bihun Goreng Sosis</t>
  </si>
  <si>
    <t>Bihun Goreng Nugget</t>
  </si>
  <si>
    <t>Bihun Goreng Bakso</t>
  </si>
  <si>
    <t>Bihun Goreng Teri</t>
  </si>
  <si>
    <t>Bihun Goreng Ati Ampela</t>
  </si>
  <si>
    <t>Nasi Joni UII</t>
  </si>
  <si>
    <t>Nasi Ayam Fillet Sambal Bajak</t>
  </si>
  <si>
    <t>Nasi Ayam Fillet Cabe Garam</t>
  </si>
  <si>
    <t>Nasi Ayam Fillet Sambal Matah</t>
  </si>
  <si>
    <t>Nasi Dori Fillet Sambal Bajak</t>
  </si>
  <si>
    <t>Nasi Dori Fillet Cabe Garam</t>
  </si>
  <si>
    <t>Nasi Dori Fillet Sambal Matah</t>
  </si>
  <si>
    <t>Nasi Kronyos Sapi Sambal Bajak</t>
  </si>
  <si>
    <t>Nasi Kronyos Sapi Cabe Garam</t>
  </si>
  <si>
    <t>Nasi Kronyos Sapi Sambal Matah</t>
  </si>
  <si>
    <t>Warung Lotek Warma IN</t>
  </si>
  <si>
    <t>Lotek</t>
  </si>
  <si>
    <t>Tahu Tek Surabaya</t>
  </si>
  <si>
    <t>Gado-Gado</t>
  </si>
  <si>
    <t>Tahu Guling</t>
  </si>
  <si>
    <t>Karedok</t>
  </si>
  <si>
    <t>Tahu Kupat dan Soto Mbak Rose</t>
  </si>
  <si>
    <t>Tahu Kupat Solo</t>
  </si>
  <si>
    <t>Nasi Pecel dan Telur</t>
  </si>
  <si>
    <t>Lotek Telur</t>
  </si>
  <si>
    <t>Nasi Sop Iga</t>
  </si>
  <si>
    <t>Nasi Sop Ayam</t>
  </si>
  <si>
    <t>Nasi Sop Daging Sapi</t>
  </si>
  <si>
    <t>Soto Bathok Daging Sapi</t>
  </si>
  <si>
    <t>Soto Bathok Daging Ayam</t>
  </si>
  <si>
    <t>Lontong Opor</t>
  </si>
  <si>
    <t>Nasi Opor</t>
  </si>
  <si>
    <t xml:space="preserve">Nasi Pecel </t>
  </si>
  <si>
    <t>Mie Jawa Goreng</t>
  </si>
  <si>
    <t>Mie Jawa Kuah</t>
  </si>
  <si>
    <t>Omalen Kitchen</t>
  </si>
  <si>
    <t>Creamy Carbonara Pasta</t>
  </si>
  <si>
    <t>Creamy Truffle Mushroom Pasta</t>
  </si>
  <si>
    <t>Macaroni Schotel</t>
  </si>
  <si>
    <t>Beef Lasagna</t>
  </si>
  <si>
    <t>Ayam Lor Tower Mas Nur</t>
  </si>
  <si>
    <t>Nasi Telur Bakar</t>
  </si>
  <si>
    <t>Nasi Telur Dadar Geprek</t>
  </si>
  <si>
    <t>Nasi Tempe Geprek</t>
  </si>
  <si>
    <t>Nasi Terong Geprek</t>
  </si>
  <si>
    <t>Nasi Tahu Geprek</t>
  </si>
  <si>
    <t>Bebek Shinjay Khas Madura</t>
  </si>
  <si>
    <t>Nasi Bebek Goreng</t>
  </si>
  <si>
    <t>Coto Makasar Daeng Imba</t>
  </si>
  <si>
    <t>Coto Makassar</t>
  </si>
  <si>
    <t>Sop Konro</t>
  </si>
  <si>
    <t>Soto Hollywood Jakal</t>
  </si>
  <si>
    <t>Sop Rolade</t>
  </si>
  <si>
    <t>Soto Babat</t>
  </si>
  <si>
    <t>Soto Ceker</t>
  </si>
  <si>
    <t>Soto Bakso</t>
  </si>
  <si>
    <t>Warteg Selera Bahari</t>
  </si>
  <si>
    <t>Indomie Goreng Telur</t>
  </si>
  <si>
    <t>Indomie Rebus Telur</t>
  </si>
  <si>
    <t xml:space="preserve">Indomie Goreng </t>
  </si>
  <si>
    <t>Nasi Rendang Koto dan Telur Dadar</t>
  </si>
  <si>
    <t>Nasi Udang  Asam Manis dan Capcay</t>
  </si>
  <si>
    <t>Roti Bakar Coklat</t>
  </si>
  <si>
    <t>Martabak Casablanca UII</t>
  </si>
  <si>
    <t>Roti Bakar Susu</t>
  </si>
  <si>
    <t>Roti Bakar Keju</t>
  </si>
  <si>
    <t>Roti Bakar Kacang</t>
  </si>
  <si>
    <t>Martabak Manis Susu</t>
  </si>
  <si>
    <t>Martabak Telur</t>
  </si>
  <si>
    <t>Pempek Yuk Titi</t>
  </si>
  <si>
    <t>Pempek Kapal Selam</t>
  </si>
  <si>
    <t>Pempek Adaan</t>
  </si>
  <si>
    <t>Pempek Kulit</t>
  </si>
  <si>
    <t>Chicken Chuck</t>
  </si>
  <si>
    <t>French Fries</t>
  </si>
  <si>
    <t>Kebab Turki</t>
  </si>
  <si>
    <t xml:space="preserve">Tahu Walik </t>
  </si>
  <si>
    <t>Bakso Ikan Kuah</t>
  </si>
  <si>
    <t>Longitude</t>
  </si>
  <si>
    <t>Latitude</t>
  </si>
  <si>
    <t>Warung Gajebo UII</t>
  </si>
  <si>
    <t>Burjo Motekar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</si>
</sst>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2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02"/>
  <sheetViews>
    <sheetView tabSelected="1" zoomScale="59" zoomScaleNormal="115" workbookViewId="0">
      <selection activeCell="E126" sqref="E126"/>
    </sheetView>
  </sheetViews>
  <sheetFormatPr defaultRowHeight="15" x14ac:dyDescent="0.25"/>
  <cols>
    <col min="2" max="2" width="40.5703125" customWidth="1"/>
    <col min="3" max="5" width="38.7109375" customWidth="1"/>
    <col min="6" max="6" width="20.85546875" customWidth="1"/>
    <col min="7" max="7" width="18" customWidth="1"/>
  </cols>
  <sheetData>
    <row r="2" spans="1:10" x14ac:dyDescent="0.25">
      <c r="A2" t="s">
        <v>0</v>
      </c>
      <c r="B2" t="s">
        <v>1</v>
      </c>
      <c r="C2" t="s">
        <v>2</v>
      </c>
      <c r="D2" t="s">
        <v>242</v>
      </c>
      <c r="E2" t="s">
        <v>243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25">
      <c r="A3">
        <v>1</v>
      </c>
      <c r="B3" t="s">
        <v>8</v>
      </c>
      <c r="C3" t="s">
        <v>9</v>
      </c>
      <c r="D3">
        <v>110.41663699999999</v>
      </c>
      <c r="E3">
        <v>-7.6878219999999997</v>
      </c>
      <c r="F3" s="1">
        <v>21990</v>
      </c>
      <c r="G3">
        <f xml:space="preserve"> 129 + 223</f>
        <v>352</v>
      </c>
      <c r="H3">
        <f xml:space="preserve"> 2.66 + 18.82</f>
        <v>21.48</v>
      </c>
      <c r="I3">
        <f xml:space="preserve"> 0.28 + 11.96</f>
        <v>12.24</v>
      </c>
      <c r="J3">
        <f xml:space="preserve"> 27.9 + 9.41</f>
        <v>37.31</v>
      </c>
    </row>
    <row r="4" spans="1:10" x14ac:dyDescent="0.25">
      <c r="A4">
        <v>2</v>
      </c>
      <c r="C4" t="s">
        <v>10</v>
      </c>
      <c r="F4" s="1">
        <v>23000</v>
      </c>
      <c r="G4">
        <f xml:space="preserve"> 129 + 260</f>
        <v>389</v>
      </c>
      <c r="H4">
        <f xml:space="preserve"> 2.66 + 32.5</f>
        <v>35.159999999999997</v>
      </c>
      <c r="I4">
        <f xml:space="preserve"> 0.28 + 11</f>
        <v>11.28</v>
      </c>
      <c r="J4">
        <f xml:space="preserve"> 27.9 + 6</f>
        <v>33.9</v>
      </c>
    </row>
    <row r="5" spans="1:10" x14ac:dyDescent="0.25">
      <c r="A5">
        <v>3</v>
      </c>
      <c r="C5" t="s">
        <v>11</v>
      </c>
      <c r="F5" s="1">
        <v>28000</v>
      </c>
      <c r="G5">
        <f xml:space="preserve"> 129 + 333</f>
        <v>462</v>
      </c>
      <c r="H5">
        <f xml:space="preserve"> 2.66 + 39.3</f>
        <v>41.959999999999994</v>
      </c>
      <c r="I5">
        <f xml:space="preserve"> 0.28 + 15.8</f>
        <v>16.080000000000002</v>
      </c>
      <c r="J5">
        <f xml:space="preserve"> 27.9 + 6.1</f>
        <v>34</v>
      </c>
    </row>
    <row r="6" spans="1:10" x14ac:dyDescent="0.25">
      <c r="A6">
        <v>4</v>
      </c>
      <c r="C6" t="s">
        <v>12</v>
      </c>
      <c r="F6" s="1">
        <v>22000</v>
      </c>
      <c r="G6">
        <f xml:space="preserve"> 129 + 97</f>
        <v>226</v>
      </c>
      <c r="H6">
        <f xml:space="preserve"> 2.66 + 5.8</f>
        <v>8.4600000000000009</v>
      </c>
      <c r="I6">
        <f xml:space="preserve"> 0.28 + 6.3</f>
        <v>6.58</v>
      </c>
      <c r="J6">
        <f xml:space="preserve"> 27.9 + 9.6</f>
        <v>37.5</v>
      </c>
    </row>
    <row r="7" spans="1:10" x14ac:dyDescent="0.25">
      <c r="A7">
        <v>5</v>
      </c>
      <c r="C7" t="s">
        <v>13</v>
      </c>
      <c r="F7" s="1">
        <v>26000</v>
      </c>
      <c r="G7">
        <f xml:space="preserve"> 129 + 223 + 166</f>
        <v>518</v>
      </c>
      <c r="H7">
        <f xml:space="preserve"> 2.66 + 18.82 + 11.11</f>
        <v>32.590000000000003</v>
      </c>
      <c r="I7">
        <f xml:space="preserve"> 0.28 + 11.96 + 12.25</f>
        <v>24.490000000000002</v>
      </c>
      <c r="J7">
        <f xml:space="preserve"> 27.9 + 9.41 + 2.2</f>
        <v>39.510000000000005</v>
      </c>
    </row>
    <row r="8" spans="1:10" x14ac:dyDescent="0.25">
      <c r="A8">
        <v>6</v>
      </c>
      <c r="C8" t="s">
        <v>14</v>
      </c>
      <c r="F8" s="1">
        <v>22000</v>
      </c>
      <c r="G8">
        <f xml:space="preserve"> 398 - 135 + 129</f>
        <v>392</v>
      </c>
      <c r="H8">
        <f xml:space="preserve"> 20.4 - 2.79 + 2.66</f>
        <v>20.27</v>
      </c>
      <c r="I8">
        <f xml:space="preserve"> 18.28 - 0.29 + 0.28</f>
        <v>18.270000000000003</v>
      </c>
      <c r="J8">
        <f xml:space="preserve"> 36.9 - 29.3 + 27.9</f>
        <v>35.5</v>
      </c>
    </row>
    <row r="9" spans="1:10" x14ac:dyDescent="0.25">
      <c r="A9">
        <v>7</v>
      </c>
      <c r="C9" t="s">
        <v>15</v>
      </c>
      <c r="F9" s="1">
        <v>26000</v>
      </c>
      <c r="G9">
        <f xml:space="preserve"> 129 + 263 + 93</f>
        <v>485</v>
      </c>
      <c r="H9">
        <f xml:space="preserve"> 2.66 + 17.61 + 6.48</f>
        <v>26.75</v>
      </c>
      <c r="I9">
        <f xml:space="preserve"> 0.28 + 17.99 + 7.33</f>
        <v>25.6</v>
      </c>
      <c r="J9">
        <f xml:space="preserve"> 27.9 + 7.6 + 0.42</f>
        <v>35.92</v>
      </c>
    </row>
    <row r="10" spans="1:10" x14ac:dyDescent="0.25">
      <c r="A10">
        <v>8</v>
      </c>
      <c r="C10" t="s">
        <v>16</v>
      </c>
      <c r="F10" s="1">
        <v>22000</v>
      </c>
      <c r="G10">
        <f xml:space="preserve"> 497 - 135 + 129</f>
        <v>491</v>
      </c>
      <c r="H10">
        <f xml:space="preserve"> 33.44 - 2.79 + 2.66</f>
        <v>33.31</v>
      </c>
      <c r="I10">
        <f xml:space="preserve"> 17.86 - 0.29 + 0.28</f>
        <v>17.850000000000001</v>
      </c>
      <c r="J10">
        <f xml:space="preserve"> 50.21 - 29.3 + 27.9</f>
        <v>48.81</v>
      </c>
    </row>
    <row r="11" spans="1:10" x14ac:dyDescent="0.25">
      <c r="A11">
        <v>9</v>
      </c>
      <c r="B11" t="s">
        <v>245</v>
      </c>
      <c r="C11" t="s">
        <v>17</v>
      </c>
      <c r="D11">
        <v>110.41860200000001</v>
      </c>
      <c r="E11">
        <v>-7.6876680000000004</v>
      </c>
      <c r="F11" s="1">
        <v>22000</v>
      </c>
      <c r="G11">
        <f xml:space="preserve"> 129 + 210</f>
        <v>339</v>
      </c>
      <c r="H11">
        <f xml:space="preserve"> 2.66 + 23</f>
        <v>25.66</v>
      </c>
      <c r="I11">
        <f xml:space="preserve"> 0.28 + 12</f>
        <v>12.28</v>
      </c>
      <c r="J11">
        <f xml:space="preserve"> 27.9 + 6</f>
        <v>33.9</v>
      </c>
    </row>
    <row r="12" spans="1:10" x14ac:dyDescent="0.25">
      <c r="A12">
        <v>10</v>
      </c>
      <c r="C12" t="s">
        <v>18</v>
      </c>
      <c r="F12" s="1">
        <v>21000</v>
      </c>
      <c r="G12">
        <f xml:space="preserve"> 339 -250 + 168</f>
        <v>257</v>
      </c>
      <c r="H12">
        <f xml:space="preserve"> 6.3 + 6.24</f>
        <v>12.54</v>
      </c>
      <c r="I12">
        <f xml:space="preserve"> 6.23 + 6.76</f>
        <v>12.99</v>
      </c>
      <c r="J12">
        <f xml:space="preserve"> 21.06 + 0.43</f>
        <v>21.49</v>
      </c>
    </row>
    <row r="13" spans="1:10" x14ac:dyDescent="0.25">
      <c r="A13">
        <v>11</v>
      </c>
      <c r="C13" t="s">
        <v>19</v>
      </c>
      <c r="F13" s="1">
        <v>18000</v>
      </c>
      <c r="G13">
        <v>469</v>
      </c>
      <c r="H13">
        <v>13.44</v>
      </c>
      <c r="I13">
        <v>23.76</v>
      </c>
      <c r="J13">
        <v>49.43</v>
      </c>
    </row>
    <row r="14" spans="1:10" x14ac:dyDescent="0.25">
      <c r="A14">
        <v>12</v>
      </c>
      <c r="C14" t="s">
        <v>20</v>
      </c>
      <c r="F14" s="1">
        <v>11000</v>
      </c>
      <c r="G14">
        <v>108</v>
      </c>
      <c r="H14">
        <v>3.54</v>
      </c>
      <c r="I14">
        <v>3.06</v>
      </c>
      <c r="J14">
        <v>17.760000000000002</v>
      </c>
    </row>
    <row r="15" spans="1:10" x14ac:dyDescent="0.25">
      <c r="A15">
        <v>13</v>
      </c>
      <c r="B15" t="s">
        <v>21</v>
      </c>
      <c r="C15" t="s">
        <v>22</v>
      </c>
      <c r="D15">
        <v>110.416742</v>
      </c>
      <c r="E15">
        <v>-7.6843159999999999</v>
      </c>
      <c r="F15" s="1">
        <v>29000</v>
      </c>
      <c r="G15">
        <f xml:space="preserve"> 302 - 135 + 129</f>
        <v>296</v>
      </c>
      <c r="H15">
        <f xml:space="preserve"> 27.8 - 2.79 + 2.66</f>
        <v>27.67</v>
      </c>
      <c r="I15">
        <f xml:space="preserve"> 6.92 - 0.29 + 0.28</f>
        <v>6.91</v>
      </c>
      <c r="J15">
        <f xml:space="preserve"> 27.9</f>
        <v>27.9</v>
      </c>
    </row>
    <row r="16" spans="1:10" x14ac:dyDescent="0.25">
      <c r="A16">
        <v>14</v>
      </c>
      <c r="C16" t="s">
        <v>23</v>
      </c>
      <c r="F16" s="1">
        <v>24500</v>
      </c>
      <c r="G16">
        <f xml:space="preserve"> 280 -135 + 129</f>
        <v>274</v>
      </c>
      <c r="H16">
        <f xml:space="preserve"> 32.93 - 2.79 + 2.66</f>
        <v>32.799999999999997</v>
      </c>
      <c r="I16">
        <f xml:space="preserve"> 2.95 - 0.29 + 0.28</f>
        <v>2.9400000000000004</v>
      </c>
      <c r="J16">
        <f xml:space="preserve"> 29.3 - 29.3 + 27.9</f>
        <v>27.9</v>
      </c>
    </row>
    <row r="17" spans="1:10" x14ac:dyDescent="0.25">
      <c r="A17">
        <v>15</v>
      </c>
      <c r="C17" t="s">
        <v>24</v>
      </c>
      <c r="F17" s="1">
        <v>32500</v>
      </c>
      <c r="G17">
        <f xml:space="preserve"> 265 - 135 + 129</f>
        <v>259</v>
      </c>
      <c r="H17">
        <f xml:space="preserve"> 28.17 - 2.79 + 2.66</f>
        <v>28.040000000000003</v>
      </c>
      <c r="I17">
        <f xml:space="preserve">  3.34 - 0.29 + 0.28</f>
        <v>3.33</v>
      </c>
      <c r="J17">
        <f xml:space="preserve"> 29.9 - 29.3 + 27.9</f>
        <v>28.499999999999996</v>
      </c>
    </row>
    <row r="18" spans="1:10" x14ac:dyDescent="0.25">
      <c r="A18">
        <v>16</v>
      </c>
      <c r="C18" t="s">
        <v>25</v>
      </c>
      <c r="F18" s="1">
        <v>27500</v>
      </c>
      <c r="G18">
        <f xml:space="preserve"> 319 -135 + 129</f>
        <v>313</v>
      </c>
      <c r="H18">
        <f xml:space="preserve"> 20.95 - 2.79 + 2.66</f>
        <v>20.82</v>
      </c>
      <c r="I18">
        <f xml:space="preserve"> 12 - 0.29 + 0.28</f>
        <v>11.99</v>
      </c>
      <c r="J18">
        <f xml:space="preserve"> 29.71 - 29.3 + 27.9</f>
        <v>28.31</v>
      </c>
    </row>
    <row r="19" spans="1:10" x14ac:dyDescent="0.25">
      <c r="A19">
        <v>17</v>
      </c>
      <c r="B19" t="s">
        <v>26</v>
      </c>
      <c r="C19" t="s">
        <v>27</v>
      </c>
      <c r="D19">
        <v>110.41721</v>
      </c>
      <c r="E19">
        <v>-7.6855650000000004</v>
      </c>
      <c r="F19" s="1">
        <v>25000</v>
      </c>
      <c r="G19">
        <f xml:space="preserve"> 243 - 135 + 129</f>
        <v>237</v>
      </c>
      <c r="H19">
        <f xml:space="preserve"> 26.17 - 2.79 + 2.66</f>
        <v>26.040000000000003</v>
      </c>
      <c r="I19">
        <f xml:space="preserve"> 1.24 - 0.29 + 0.28</f>
        <v>1.23</v>
      </c>
      <c r="J19">
        <f xml:space="preserve"> 29.3 - 29.3 + 27.9</f>
        <v>27.9</v>
      </c>
    </row>
    <row r="20" spans="1:10" x14ac:dyDescent="0.25">
      <c r="A20">
        <v>18</v>
      </c>
      <c r="C20" t="s">
        <v>28</v>
      </c>
      <c r="F20" s="1">
        <v>25000</v>
      </c>
      <c r="G20">
        <f xml:space="preserve"> 129 + 106</f>
        <v>235</v>
      </c>
      <c r="H20">
        <f xml:space="preserve"> 2.66 + 16.18</f>
        <v>18.84</v>
      </c>
      <c r="I20">
        <f xml:space="preserve"> 0.28 + 3.09</f>
        <v>3.37</v>
      </c>
      <c r="J20">
        <f xml:space="preserve"> 27.9 + 2.33</f>
        <v>30.229999999999997</v>
      </c>
    </row>
    <row r="21" spans="1:10" x14ac:dyDescent="0.25">
      <c r="A21">
        <v>19</v>
      </c>
      <c r="C21" s="3" t="s">
        <v>29</v>
      </c>
      <c r="D21" s="3"/>
      <c r="E21" s="3"/>
      <c r="F21" s="1">
        <v>19000</v>
      </c>
      <c r="G21">
        <f xml:space="preserve"> 129 + 92</f>
        <v>221</v>
      </c>
      <c r="H21">
        <f xml:space="preserve"> 2.66 + 6.27</f>
        <v>8.93</v>
      </c>
      <c r="I21">
        <f xml:space="preserve"> 0.28 + 7.04</f>
        <v>7.32</v>
      </c>
      <c r="J21">
        <f xml:space="preserve"> 27.9 + 0.4</f>
        <v>28.299999999999997</v>
      </c>
    </row>
    <row r="22" spans="1:10" x14ac:dyDescent="0.25">
      <c r="A22">
        <v>20</v>
      </c>
      <c r="B22" t="s">
        <v>30</v>
      </c>
      <c r="C22" t="s">
        <v>31</v>
      </c>
      <c r="D22">
        <v>110.416737</v>
      </c>
      <c r="E22">
        <v>-7.7007839999999996</v>
      </c>
      <c r="F22" s="1">
        <v>38000</v>
      </c>
      <c r="G22">
        <f xml:space="preserve"> 163 + 484</f>
        <v>647</v>
      </c>
      <c r="H22">
        <f xml:space="preserve"> 2.55 + 39.61</f>
        <v>42.16</v>
      </c>
      <c r="I22">
        <f>8.12 + 36.5</f>
        <v>44.62</v>
      </c>
      <c r="J22">
        <f xml:space="preserve"> 20.59 + 0.62</f>
        <v>21.21</v>
      </c>
    </row>
    <row r="23" spans="1:10" x14ac:dyDescent="0.25">
      <c r="A23">
        <v>21</v>
      </c>
      <c r="C23" t="s">
        <v>32</v>
      </c>
      <c r="F23" s="1">
        <v>24000</v>
      </c>
      <c r="G23">
        <f xml:space="preserve"> 163 +  93</f>
        <v>256</v>
      </c>
      <c r="H23">
        <f xml:space="preserve"> 2.55 + 6.48</f>
        <v>9.0300000000000011</v>
      </c>
      <c r="I23">
        <f xml:space="preserve"> 8.12 + 7.33</f>
        <v>15.45</v>
      </c>
      <c r="J23">
        <f xml:space="preserve"> 20.59 + 0.42</f>
        <v>21.01</v>
      </c>
    </row>
    <row r="24" spans="1:10" x14ac:dyDescent="0.25">
      <c r="A24">
        <v>22</v>
      </c>
      <c r="C24" t="s">
        <v>33</v>
      </c>
      <c r="F24" s="1">
        <v>38000</v>
      </c>
      <c r="G24">
        <f xml:space="preserve"> 163 + 260</f>
        <v>423</v>
      </c>
      <c r="H24">
        <f xml:space="preserve"> 2.55 + 21.93</f>
        <v>24.48</v>
      </c>
      <c r="I24">
        <f xml:space="preserve"> 8.12 + 14.55</f>
        <v>22.67</v>
      </c>
      <c r="J24">
        <f xml:space="preserve"> 20.59 + 10.76</f>
        <v>31.35</v>
      </c>
    </row>
    <row r="25" spans="1:10" x14ac:dyDescent="0.25">
      <c r="A25">
        <v>23</v>
      </c>
      <c r="B25" t="s">
        <v>34</v>
      </c>
      <c r="C25" t="s">
        <v>35</v>
      </c>
      <c r="D25">
        <v>110.41704799999999</v>
      </c>
      <c r="E25">
        <v>-7.6821440000000001</v>
      </c>
      <c r="F25" s="1">
        <v>31000</v>
      </c>
      <c r="G25">
        <f xml:space="preserve"> 95 + 260</f>
        <v>355</v>
      </c>
      <c r="H25">
        <f xml:space="preserve"> 1.9 + 21.93</f>
        <v>23.83</v>
      </c>
      <c r="I25">
        <f xml:space="preserve"> 0.21 + 14.55</f>
        <v>14.760000000000002</v>
      </c>
      <c r="J25">
        <f xml:space="preserve"> 21.38 + 10.76</f>
        <v>32.14</v>
      </c>
    </row>
    <row r="26" spans="1:10" x14ac:dyDescent="0.25">
      <c r="A26">
        <v>24</v>
      </c>
      <c r="C26" t="s">
        <v>36</v>
      </c>
      <c r="F26" s="1">
        <v>22999</v>
      </c>
      <c r="G26">
        <f xml:space="preserve"> 95 + 71</f>
        <v>166</v>
      </c>
      <c r="H26">
        <f xml:space="preserve"> 1.9 + 3.57</f>
        <v>5.47</v>
      </c>
      <c r="I26">
        <f xml:space="preserve"> 0.21 + 5.75</f>
        <v>5.96</v>
      </c>
      <c r="J26">
        <f xml:space="preserve"> 21.38 + 1.22</f>
        <v>22.599999999999998</v>
      </c>
    </row>
    <row r="27" spans="1:10" x14ac:dyDescent="0.25">
      <c r="A27">
        <v>25</v>
      </c>
      <c r="B27" t="s">
        <v>37</v>
      </c>
      <c r="C27" t="s">
        <v>38</v>
      </c>
      <c r="D27">
        <v>110.418933</v>
      </c>
      <c r="E27">
        <v>-7.6857049999999996</v>
      </c>
      <c r="F27" s="1">
        <v>19800</v>
      </c>
      <c r="G27">
        <f xml:space="preserve"> 129 + 177</f>
        <v>306</v>
      </c>
      <c r="H27">
        <f xml:space="preserve"> 2.66 + 20.49</f>
        <v>23.15</v>
      </c>
      <c r="I27">
        <f xml:space="preserve"> 0.28 + 8.34</f>
        <v>8.6199999999999992</v>
      </c>
      <c r="J27">
        <f xml:space="preserve"> 27.9 + 4.25</f>
        <v>32.15</v>
      </c>
    </row>
    <row r="28" spans="1:10" x14ac:dyDescent="0.25">
      <c r="A28">
        <v>26</v>
      </c>
      <c r="C28" t="s">
        <v>39</v>
      </c>
      <c r="F28" s="1">
        <v>26000</v>
      </c>
      <c r="G28">
        <f xml:space="preserve"> 129 + 160</f>
        <v>289</v>
      </c>
      <c r="H28">
        <f xml:space="preserve"> 2.66 + 14.8</f>
        <v>17.46</v>
      </c>
      <c r="I28">
        <f xml:space="preserve"> 0.28 + 8.6</f>
        <v>8.879999999999999</v>
      </c>
      <c r="J28">
        <f xml:space="preserve"> 27.9 + 6.11</f>
        <v>34.01</v>
      </c>
    </row>
    <row r="29" spans="1:10" x14ac:dyDescent="0.25">
      <c r="A29">
        <v>27</v>
      </c>
      <c r="C29" t="s">
        <v>40</v>
      </c>
      <c r="F29" s="1">
        <v>19800</v>
      </c>
      <c r="G29">
        <f xml:space="preserve"> 129 + 260 + 132</f>
        <v>521</v>
      </c>
      <c r="H29">
        <f xml:space="preserve"> 2.66 + 21.93 + 1.26</f>
        <v>25.85</v>
      </c>
      <c r="I29">
        <f xml:space="preserve"> 0.28 + 14.55 + 13.6</f>
        <v>28.43</v>
      </c>
      <c r="J29">
        <f xml:space="preserve"> 27.9 + 10.76 + 1.44</f>
        <v>40.099999999999994</v>
      </c>
    </row>
    <row r="30" spans="1:10" x14ac:dyDescent="0.25">
      <c r="A30">
        <v>28</v>
      </c>
      <c r="C30" t="s">
        <v>41</v>
      </c>
      <c r="F30" s="1">
        <v>19800</v>
      </c>
      <c r="G30">
        <f xml:space="preserve"> 129 + 89</f>
        <v>218</v>
      </c>
      <c r="H30">
        <f xml:space="preserve"> 2.66 + 6.09</f>
        <v>8.75</v>
      </c>
      <c r="I30">
        <f xml:space="preserve"> 0.28 + 2.43</f>
        <v>2.71</v>
      </c>
      <c r="J30">
        <f xml:space="preserve"> 27.9 + 11.23</f>
        <v>39.129999999999995</v>
      </c>
    </row>
    <row r="31" spans="1:10" x14ac:dyDescent="0.25">
      <c r="A31">
        <v>29</v>
      </c>
      <c r="B31" t="s">
        <v>42</v>
      </c>
      <c r="C31" t="s">
        <v>43</v>
      </c>
      <c r="D31">
        <v>110.419117</v>
      </c>
      <c r="E31">
        <v>-7.685543</v>
      </c>
      <c r="F31" s="1">
        <v>26000</v>
      </c>
      <c r="G31">
        <f xml:space="preserve"> 129 + 140</f>
        <v>269</v>
      </c>
      <c r="H31">
        <f xml:space="preserve"> 2.66 + 19.6</f>
        <v>22.26</v>
      </c>
      <c r="I31">
        <f xml:space="preserve"> 0.28 + 3.89</f>
        <v>4.17</v>
      </c>
      <c r="J31">
        <f xml:space="preserve"> 27.9 + 6.65</f>
        <v>34.549999999999997</v>
      </c>
    </row>
    <row r="32" spans="1:10" x14ac:dyDescent="0.25">
      <c r="A32">
        <v>30</v>
      </c>
      <c r="C32" t="s">
        <v>44</v>
      </c>
      <c r="F32" s="1">
        <v>30000</v>
      </c>
      <c r="G32">
        <f xml:space="preserve"> 129 + 250</f>
        <v>379</v>
      </c>
      <c r="H32">
        <f xml:space="preserve"> 2.66 + 26</f>
        <v>28.66</v>
      </c>
      <c r="I32">
        <f xml:space="preserve"> 0.28 + 14</f>
        <v>14.28</v>
      </c>
      <c r="J32">
        <f xml:space="preserve"> 27.9 + 10</f>
        <v>37.9</v>
      </c>
    </row>
    <row r="33" spans="1:10" x14ac:dyDescent="0.25">
      <c r="A33">
        <v>31</v>
      </c>
      <c r="C33" t="s">
        <v>45</v>
      </c>
      <c r="F33" s="1">
        <v>30000</v>
      </c>
      <c r="G33">
        <f xml:space="preserve"> 129 + 237</f>
        <v>366</v>
      </c>
      <c r="H33">
        <f xml:space="preserve"> 2.66 + 27</f>
        <v>29.66</v>
      </c>
      <c r="I33">
        <f xml:space="preserve"> 0.28 + 13.5</f>
        <v>13.78</v>
      </c>
      <c r="J33">
        <f xml:space="preserve"> 27.9 + 8</f>
        <v>35.9</v>
      </c>
    </row>
    <row r="34" spans="1:10" x14ac:dyDescent="0.25">
      <c r="A34">
        <v>32</v>
      </c>
      <c r="C34" t="s">
        <v>46</v>
      </c>
      <c r="F34" s="1">
        <v>30000</v>
      </c>
      <c r="G34">
        <f xml:space="preserve"> 129 + 202</f>
        <v>331</v>
      </c>
      <c r="H34">
        <f xml:space="preserve"> 2.66 + 20.49</f>
        <v>23.15</v>
      </c>
      <c r="I34">
        <f xml:space="preserve"> 0.28 + 11.41</f>
        <v>11.69</v>
      </c>
      <c r="J34">
        <f xml:space="preserve"> 27.9 + 3.71</f>
        <v>31.61</v>
      </c>
    </row>
    <row r="35" spans="1:10" x14ac:dyDescent="0.25">
      <c r="A35">
        <v>33</v>
      </c>
      <c r="C35" t="s">
        <v>47</v>
      </c>
      <c r="F35" s="1">
        <v>30000</v>
      </c>
      <c r="G35">
        <f xml:space="preserve"> 129 + 330</f>
        <v>459</v>
      </c>
      <c r="H35">
        <f xml:space="preserve"> 2.66 + 23</f>
        <v>25.66</v>
      </c>
      <c r="I35">
        <f xml:space="preserve"> 0.28 + 24</f>
        <v>24.28</v>
      </c>
      <c r="J35">
        <f xml:space="preserve"> 27.9 + 12</f>
        <v>39.9</v>
      </c>
    </row>
    <row r="36" spans="1:10" x14ac:dyDescent="0.25">
      <c r="A36">
        <v>34</v>
      </c>
      <c r="C36" t="s">
        <v>48</v>
      </c>
      <c r="F36" s="1">
        <v>32000</v>
      </c>
      <c r="G36">
        <f xml:space="preserve"> 129 + 250</f>
        <v>379</v>
      </c>
      <c r="H36">
        <f xml:space="preserve"> 2.66 + 13</f>
        <v>15.66</v>
      </c>
      <c r="I36">
        <f xml:space="preserve"> 0.28 + 16</f>
        <v>16.28</v>
      </c>
      <c r="J36">
        <f xml:space="preserve"> 27.9 + 15</f>
        <v>42.9</v>
      </c>
    </row>
    <row r="37" spans="1:10" x14ac:dyDescent="0.25">
      <c r="A37">
        <v>35</v>
      </c>
      <c r="C37" t="s">
        <v>49</v>
      </c>
      <c r="F37" s="1">
        <v>29000</v>
      </c>
      <c r="G37">
        <f xml:space="preserve"> 168 + 10</f>
        <v>178</v>
      </c>
      <c r="H37">
        <f xml:space="preserve"> 6.3 + 0</f>
        <v>6.3</v>
      </c>
      <c r="I37">
        <f>6.23 + 0</f>
        <v>6.23</v>
      </c>
      <c r="J37">
        <f xml:space="preserve"> 21.06 + 2</f>
        <v>23.06</v>
      </c>
    </row>
    <row r="38" spans="1:10" x14ac:dyDescent="0.25">
      <c r="A38">
        <v>36</v>
      </c>
      <c r="C38" t="s">
        <v>50</v>
      </c>
      <c r="F38" s="1">
        <v>29000</v>
      </c>
      <c r="G38">
        <f xml:space="preserve"> 168 + 52</f>
        <v>220</v>
      </c>
      <c r="H38">
        <f xml:space="preserve"> 6.3 + 2</f>
        <v>8.3000000000000007</v>
      </c>
      <c r="I38">
        <f>6.23 + 2</f>
        <v>8.23</v>
      </c>
      <c r="J38">
        <f xml:space="preserve"> 21.06 + 8</f>
        <v>29.06</v>
      </c>
    </row>
    <row r="39" spans="1:10" x14ac:dyDescent="0.25">
      <c r="A39">
        <v>37</v>
      </c>
      <c r="C39" s="3" t="s">
        <v>51</v>
      </c>
      <c r="D39" s="3"/>
      <c r="E39" s="3"/>
      <c r="F39" s="1">
        <v>29000</v>
      </c>
      <c r="G39">
        <f xml:space="preserve"> 168 + 10</f>
        <v>178</v>
      </c>
      <c r="H39">
        <f xml:space="preserve"> 6.3</f>
        <v>6.3</v>
      </c>
      <c r="I39">
        <f>6.23</f>
        <v>6.23</v>
      </c>
      <c r="J39">
        <f xml:space="preserve"> 21.06 + 2</f>
        <v>23.06</v>
      </c>
    </row>
    <row r="40" spans="1:10" x14ac:dyDescent="0.25">
      <c r="A40">
        <v>38</v>
      </c>
      <c r="B40" t="s">
        <v>52</v>
      </c>
      <c r="C40" t="s">
        <v>53</v>
      </c>
      <c r="D40">
        <v>110.417199</v>
      </c>
      <c r="E40">
        <v>-7.6967559999999997</v>
      </c>
      <c r="F40" s="1">
        <v>28500</v>
      </c>
      <c r="G40">
        <f xml:space="preserve"> 129 + 195 + 200</f>
        <v>524</v>
      </c>
      <c r="H40">
        <f xml:space="preserve"> 2.66 + 19.68 + 15</f>
        <v>37.340000000000003</v>
      </c>
      <c r="I40">
        <f xml:space="preserve"> 0.28 + 11.07 + 10</f>
        <v>21.35</v>
      </c>
      <c r="J40">
        <f xml:space="preserve"> 27.9 + 4.49 + 13</f>
        <v>45.39</v>
      </c>
    </row>
    <row r="41" spans="1:10" x14ac:dyDescent="0.25">
      <c r="A41">
        <v>39</v>
      </c>
      <c r="C41" t="s">
        <v>224</v>
      </c>
      <c r="F41" s="1">
        <v>23500</v>
      </c>
      <c r="G41">
        <f xml:space="preserve"> 129 + 195 + 93</f>
        <v>417</v>
      </c>
      <c r="H41">
        <f xml:space="preserve"> 2.66 + 19.68 + 6.48</f>
        <v>28.82</v>
      </c>
      <c r="I41">
        <f xml:space="preserve"> 0.28 + 11.07 + 7.33</f>
        <v>18.68</v>
      </c>
      <c r="J41">
        <f xml:space="preserve"> 27.9 + 4.49 + 0.42</f>
        <v>32.81</v>
      </c>
    </row>
    <row r="42" spans="1:10" x14ac:dyDescent="0.25">
      <c r="A42">
        <v>40</v>
      </c>
      <c r="B42" t="s">
        <v>54</v>
      </c>
      <c r="C42" t="s">
        <v>55</v>
      </c>
      <c r="D42">
        <v>110.41728500000001</v>
      </c>
      <c r="E42">
        <v>-7.6966659999999996</v>
      </c>
      <c r="F42" s="1">
        <v>19999</v>
      </c>
      <c r="G42">
        <v>372</v>
      </c>
      <c r="H42">
        <v>27.56</v>
      </c>
      <c r="I42">
        <v>12.39</v>
      </c>
      <c r="J42">
        <v>36.119999999999997</v>
      </c>
    </row>
    <row r="43" spans="1:10" x14ac:dyDescent="0.25">
      <c r="A43">
        <v>41</v>
      </c>
      <c r="C43" t="s">
        <v>56</v>
      </c>
      <c r="F43" s="1">
        <v>29999</v>
      </c>
      <c r="G43">
        <v>449</v>
      </c>
      <c r="H43">
        <v>33.82</v>
      </c>
      <c r="I43">
        <v>17.670000000000002</v>
      </c>
      <c r="J43">
        <v>36.68</v>
      </c>
    </row>
    <row r="44" spans="1:10" x14ac:dyDescent="0.25">
      <c r="A44">
        <v>42</v>
      </c>
      <c r="C44" t="s">
        <v>57</v>
      </c>
      <c r="F44" s="1">
        <v>41100</v>
      </c>
      <c r="G44">
        <v>509</v>
      </c>
      <c r="H44">
        <v>37.07</v>
      </c>
      <c r="I44">
        <v>22.62</v>
      </c>
      <c r="J44">
        <v>37.200000000000003</v>
      </c>
    </row>
    <row r="45" spans="1:10" x14ac:dyDescent="0.25">
      <c r="A45">
        <v>43</v>
      </c>
      <c r="C45" t="s">
        <v>58</v>
      </c>
      <c r="F45" s="1">
        <v>53200</v>
      </c>
      <c r="G45">
        <f xml:space="preserve"> 372 + 195</f>
        <v>567</v>
      </c>
      <c r="H45">
        <v>47.24</v>
      </c>
      <c r="I45">
        <v>23.46</v>
      </c>
      <c r="J45">
        <v>40.61</v>
      </c>
    </row>
    <row r="46" spans="1:10" x14ac:dyDescent="0.25">
      <c r="A46">
        <v>44</v>
      </c>
      <c r="C46" s="3" t="s">
        <v>59</v>
      </c>
      <c r="D46" s="3"/>
      <c r="E46" s="3"/>
      <c r="F46" s="1">
        <v>42000</v>
      </c>
      <c r="G46">
        <f xml:space="preserve"> 72 + 195</f>
        <v>267</v>
      </c>
      <c r="H46">
        <f>1.5 + 19.68</f>
        <v>21.18</v>
      </c>
      <c r="I46">
        <f xml:space="preserve"> 0.54 + 11.07</f>
        <v>11.61</v>
      </c>
      <c r="J46">
        <f xml:space="preserve"> 15.26 + 4.49</f>
        <v>19.75</v>
      </c>
    </row>
    <row r="47" spans="1:10" x14ac:dyDescent="0.25">
      <c r="A47">
        <v>45</v>
      </c>
      <c r="B47" t="s">
        <v>60</v>
      </c>
      <c r="C47" t="s">
        <v>61</v>
      </c>
      <c r="D47">
        <v>110.410393</v>
      </c>
      <c r="E47">
        <v>-7.6922059999999997</v>
      </c>
      <c r="F47" s="1">
        <v>24875</v>
      </c>
      <c r="G47">
        <f xml:space="preserve"> 129 + 125 + 15 + 67</f>
        <v>336</v>
      </c>
      <c r="H47">
        <f xml:space="preserve"> 2.66 + 15.13 + 0 + 1.58</f>
        <v>19.369999999999997</v>
      </c>
      <c r="I47">
        <f xml:space="preserve"> 0.28 + 2.17+ 0 + 2.59</f>
        <v>5.04</v>
      </c>
      <c r="J47">
        <f xml:space="preserve"> 27.9 + 9.9 + 3 + 9.67</f>
        <v>50.47</v>
      </c>
    </row>
    <row r="48" spans="1:10" x14ac:dyDescent="0.25">
      <c r="A48">
        <v>46</v>
      </c>
      <c r="C48" t="s">
        <v>62</v>
      </c>
      <c r="F48" s="1">
        <v>24875</v>
      </c>
      <c r="G48">
        <f xml:space="preserve"> 129 + 125 + 80 + 67</f>
        <v>401</v>
      </c>
      <c r="H48">
        <f xml:space="preserve"> 2.66 + 15.13 + 1 + 1.58</f>
        <v>20.369999999999997</v>
      </c>
      <c r="I48">
        <f xml:space="preserve"> 0.28 + 2.17 + 5 + 2.59</f>
        <v>10.039999999999999</v>
      </c>
      <c r="J48">
        <f xml:space="preserve"> 27.9 + 9.9 + 6 + 9.67</f>
        <v>53.47</v>
      </c>
    </row>
    <row r="49" spans="1:10" x14ac:dyDescent="0.25">
      <c r="A49">
        <v>47</v>
      </c>
      <c r="C49" t="s">
        <v>63</v>
      </c>
      <c r="F49" s="1">
        <v>24875</v>
      </c>
      <c r="G49">
        <f xml:space="preserve"> 129 + 125 + 67</f>
        <v>321</v>
      </c>
      <c r="H49">
        <f xml:space="preserve"> 2.66 + 15.13 + 1.58</f>
        <v>19.369999999999997</v>
      </c>
      <c r="I49">
        <f xml:space="preserve"> 0.28 + 2.17 + 2.59</f>
        <v>5.04</v>
      </c>
      <c r="J49">
        <f xml:space="preserve"> 27.9 + 9.9 + 9.67</f>
        <v>47.47</v>
      </c>
    </row>
    <row r="50" spans="1:10" x14ac:dyDescent="0.25">
      <c r="A50">
        <v>48</v>
      </c>
      <c r="C50" t="s">
        <v>64</v>
      </c>
      <c r="F50" s="1">
        <v>20900</v>
      </c>
      <c r="G50">
        <f xml:space="preserve"> 129 + 245 + 67</f>
        <v>441</v>
      </c>
      <c r="H50">
        <f xml:space="preserve"> 2.66 + 20.7 + 1.58</f>
        <v>24.939999999999998</v>
      </c>
      <c r="I50">
        <f xml:space="preserve"> 0.28 + 12.26 + 2.59</f>
        <v>15.129999999999999</v>
      </c>
      <c r="J50">
        <f xml:space="preserve"> 27.9 + 11.7 + 9.67</f>
        <v>49.269999999999996</v>
      </c>
    </row>
    <row r="51" spans="1:10" x14ac:dyDescent="0.25">
      <c r="A51">
        <v>49</v>
      </c>
      <c r="C51" t="s">
        <v>65</v>
      </c>
      <c r="F51" s="1">
        <v>28000</v>
      </c>
      <c r="G51">
        <f xml:space="preserve"> 129 + 202 + 67</f>
        <v>398</v>
      </c>
      <c r="H51">
        <f xml:space="preserve"> 2.66 + 19 + 1.58</f>
        <v>23.240000000000002</v>
      </c>
      <c r="I51">
        <f xml:space="preserve"> 0.28 + 7 + 2.59</f>
        <v>9.870000000000001</v>
      </c>
      <c r="J51">
        <f xml:space="preserve"> 27.9 + 12 + 9.67</f>
        <v>49.57</v>
      </c>
    </row>
    <row r="52" spans="1:10" x14ac:dyDescent="0.25">
      <c r="A52">
        <v>50</v>
      </c>
      <c r="C52" t="s">
        <v>225</v>
      </c>
      <c r="F52" s="1">
        <v>20900</v>
      </c>
      <c r="G52">
        <f xml:space="preserve"> 129 + 269 + 67</f>
        <v>465</v>
      </c>
      <c r="H52">
        <f xml:space="preserve"> 2.66 + 6.56 + 1.58</f>
        <v>10.799999999999999</v>
      </c>
      <c r="I52">
        <f xml:space="preserve"> 0.28 + 16.84 + 2.59</f>
        <v>19.71</v>
      </c>
      <c r="J52">
        <f xml:space="preserve"> 27.9 + 25.12 + 9.67</f>
        <v>62.69</v>
      </c>
    </row>
    <row r="53" spans="1:10" x14ac:dyDescent="0.25">
      <c r="A53">
        <v>51</v>
      </c>
      <c r="C53" t="s">
        <v>66</v>
      </c>
      <c r="F53" s="1">
        <v>20900</v>
      </c>
      <c r="G53">
        <f xml:space="preserve"> 129 + 131 + 67</f>
        <v>327</v>
      </c>
      <c r="H53">
        <f xml:space="preserve"> 2.66 + 7.55 + 1.58</f>
        <v>11.790000000000001</v>
      </c>
      <c r="I53">
        <f xml:space="preserve"> 0.28 + 9.71 + 2.59</f>
        <v>12.58</v>
      </c>
      <c r="J53">
        <f xml:space="preserve"> 27.9 + 3.6 + 9.67</f>
        <v>41.17</v>
      </c>
    </row>
    <row r="54" spans="1:10" x14ac:dyDescent="0.25">
      <c r="A54">
        <v>52</v>
      </c>
      <c r="C54" t="s">
        <v>67</v>
      </c>
      <c r="F54" s="1">
        <v>39000</v>
      </c>
      <c r="G54">
        <v>160</v>
      </c>
      <c r="H54">
        <v>3</v>
      </c>
      <c r="I54">
        <v>12</v>
      </c>
      <c r="J54">
        <v>9</v>
      </c>
    </row>
    <row r="55" spans="1:10" x14ac:dyDescent="0.25">
      <c r="A55">
        <v>53</v>
      </c>
      <c r="C55" t="s">
        <v>68</v>
      </c>
      <c r="F55" s="1">
        <v>28000</v>
      </c>
      <c r="G55">
        <f xml:space="preserve"> 168 + 195</f>
        <v>363</v>
      </c>
      <c r="H55">
        <f xml:space="preserve"> 6.3 + 42.16</f>
        <v>48.459999999999994</v>
      </c>
      <c r="I55">
        <f xml:space="preserve"> 6.23 + 1.59</f>
        <v>7.82</v>
      </c>
      <c r="J55">
        <f xml:space="preserve"> 21.06 + 0</f>
        <v>21.06</v>
      </c>
    </row>
    <row r="56" spans="1:10" x14ac:dyDescent="0.25">
      <c r="A56">
        <v>54</v>
      </c>
      <c r="C56" t="s">
        <v>69</v>
      </c>
      <c r="F56" s="1">
        <v>20900</v>
      </c>
      <c r="G56">
        <f xml:space="preserve"> 129 + 288 + 60</f>
        <v>477</v>
      </c>
      <c r="H56">
        <f xml:space="preserve"> 2.66 + 26.33 + 0</f>
        <v>28.99</v>
      </c>
      <c r="I56">
        <f xml:space="preserve"> 0.28 + 19.54 + 2</f>
        <v>21.82</v>
      </c>
      <c r="J56">
        <f xml:space="preserve"> 27.9 + 0 + 10</f>
        <v>37.9</v>
      </c>
    </row>
    <row r="57" spans="1:10" x14ac:dyDescent="0.25">
      <c r="A57">
        <v>55</v>
      </c>
      <c r="B57" t="s">
        <v>70</v>
      </c>
      <c r="C57" t="s">
        <v>71</v>
      </c>
      <c r="D57">
        <v>110.411401</v>
      </c>
      <c r="E57">
        <v>-7.6912640000000003</v>
      </c>
      <c r="F57" s="1">
        <v>49000</v>
      </c>
      <c r="G57">
        <f xml:space="preserve"> 129 + 177</f>
        <v>306</v>
      </c>
      <c r="H57">
        <f xml:space="preserve"> 2.66 + 20.49</f>
        <v>23.15</v>
      </c>
      <c r="I57">
        <f xml:space="preserve"> 0.28 + 8.34</f>
        <v>8.6199999999999992</v>
      </c>
      <c r="J57">
        <f xml:space="preserve"> 27.9 + 4.25</f>
        <v>32.15</v>
      </c>
    </row>
    <row r="58" spans="1:10" x14ac:dyDescent="0.25">
      <c r="A58">
        <v>56</v>
      </c>
      <c r="C58" t="s">
        <v>72</v>
      </c>
      <c r="F58" s="1">
        <v>40500</v>
      </c>
      <c r="G58">
        <f xml:space="preserve"> 129 + 202</f>
        <v>331</v>
      </c>
      <c r="H58">
        <f xml:space="preserve"> 2.66 + 20.49</f>
        <v>23.15</v>
      </c>
      <c r="I58">
        <f xml:space="preserve"> 0.28 + 11.41</f>
        <v>11.69</v>
      </c>
      <c r="J58">
        <f xml:space="preserve"> 27.9 + 3.71</f>
        <v>31.61</v>
      </c>
    </row>
    <row r="59" spans="1:10" x14ac:dyDescent="0.25">
      <c r="A59">
        <v>57</v>
      </c>
      <c r="C59" t="s">
        <v>73</v>
      </c>
      <c r="F59" s="1">
        <v>70500</v>
      </c>
      <c r="G59">
        <f xml:space="preserve"> 129 + 254</f>
        <v>383</v>
      </c>
      <c r="H59">
        <f xml:space="preserve"> 2.66 + 19.1</f>
        <v>21.76</v>
      </c>
      <c r="I59">
        <f xml:space="preserve"> 0.28 + 19</f>
        <v>19.28</v>
      </c>
      <c r="J59">
        <f xml:space="preserve"> 27.9 + 0.94</f>
        <v>28.84</v>
      </c>
    </row>
    <row r="60" spans="1:10" x14ac:dyDescent="0.25">
      <c r="A60">
        <v>58</v>
      </c>
      <c r="C60" t="s">
        <v>74</v>
      </c>
      <c r="F60" s="1">
        <v>40500</v>
      </c>
      <c r="G60">
        <f xml:space="preserve"> 129 + 135</f>
        <v>264</v>
      </c>
      <c r="H60">
        <f xml:space="preserve"> 2.66 + 4.05</f>
        <v>6.71</v>
      </c>
      <c r="I60">
        <f xml:space="preserve"> 0.28 + 8.85</f>
        <v>9.129999999999999</v>
      </c>
      <c r="J60">
        <f xml:space="preserve"> 27.9 + 11.44</f>
        <v>39.339999999999996</v>
      </c>
    </row>
    <row r="61" spans="1:10" x14ac:dyDescent="0.25">
      <c r="A61">
        <v>59</v>
      </c>
      <c r="C61" t="s">
        <v>75</v>
      </c>
      <c r="F61" s="1">
        <v>69500</v>
      </c>
      <c r="G61">
        <f xml:space="preserve"> 129 + 28</f>
        <v>157</v>
      </c>
      <c r="H61">
        <f xml:space="preserve"> 2.66 + 1.11</f>
        <v>3.7700000000000005</v>
      </c>
      <c r="I61">
        <f xml:space="preserve"> 0.28 + 1.01</f>
        <v>1.29</v>
      </c>
      <c r="J61">
        <f xml:space="preserve"> 27.9 + 3.54</f>
        <v>31.439999999999998</v>
      </c>
    </row>
    <row r="62" spans="1:10" x14ac:dyDescent="0.25">
      <c r="A62">
        <v>60</v>
      </c>
      <c r="C62" t="s">
        <v>76</v>
      </c>
      <c r="F62" s="1">
        <v>40500</v>
      </c>
      <c r="G62">
        <v>166</v>
      </c>
      <c r="H62">
        <v>6.29</v>
      </c>
      <c r="I62">
        <f xml:space="preserve"> 6.04</f>
        <v>6.04</v>
      </c>
      <c r="J62">
        <f xml:space="preserve"> 21.12</f>
        <v>21.12</v>
      </c>
    </row>
    <row r="63" spans="1:10" x14ac:dyDescent="0.25">
      <c r="A63">
        <v>61</v>
      </c>
      <c r="C63" s="3" t="s">
        <v>77</v>
      </c>
      <c r="D63" s="3"/>
      <c r="E63" s="3"/>
      <c r="F63" s="1">
        <v>48500</v>
      </c>
      <c r="G63">
        <f xml:space="preserve"> 168 + 288</f>
        <v>456</v>
      </c>
      <c r="H63">
        <f xml:space="preserve"> 6.3 + 26.33</f>
        <v>32.629999999999995</v>
      </c>
      <c r="I63">
        <f xml:space="preserve"> 6.23 + 19.54</f>
        <v>25.77</v>
      </c>
      <c r="J63">
        <f xml:space="preserve"> 21.06 + 0</f>
        <v>21.06</v>
      </c>
    </row>
    <row r="64" spans="1:10" x14ac:dyDescent="0.25">
      <c r="A64">
        <v>62</v>
      </c>
      <c r="B64" t="s">
        <v>78</v>
      </c>
      <c r="C64" t="s">
        <v>79</v>
      </c>
      <c r="D64">
        <v>110.41070499999999</v>
      </c>
      <c r="E64">
        <v>-7.6917540000000004</v>
      </c>
      <c r="F64" s="1">
        <v>33000</v>
      </c>
      <c r="G64">
        <f xml:space="preserve"> 129 + 133</f>
        <v>262</v>
      </c>
      <c r="H64">
        <f xml:space="preserve"> 2.66 + 13.02</f>
        <v>15.68</v>
      </c>
      <c r="I64">
        <f xml:space="preserve"> 0.28 + 7</f>
        <v>7.28</v>
      </c>
      <c r="J64">
        <f xml:space="preserve"> 27.9 + 5.04</f>
        <v>32.94</v>
      </c>
    </row>
    <row r="65" spans="1:10" x14ac:dyDescent="0.25">
      <c r="A65">
        <v>63</v>
      </c>
      <c r="C65" t="s">
        <v>80</v>
      </c>
      <c r="F65" s="1">
        <v>31000</v>
      </c>
      <c r="G65">
        <f xml:space="preserve"> 129 + 150</f>
        <v>279</v>
      </c>
      <c r="H65">
        <f xml:space="preserve"> 2.66 + 25</f>
        <v>27.66</v>
      </c>
      <c r="I65">
        <f xml:space="preserve"> 0.28 + 12</f>
        <v>12.28</v>
      </c>
      <c r="J65">
        <f xml:space="preserve"> 27.9 + 10</f>
        <v>37.9</v>
      </c>
    </row>
    <row r="66" spans="1:10" x14ac:dyDescent="0.25">
      <c r="A66">
        <v>64</v>
      </c>
      <c r="C66" s="3" t="s">
        <v>81</v>
      </c>
      <c r="D66" s="3"/>
      <c r="E66" s="3"/>
      <c r="F66" s="1">
        <v>31000</v>
      </c>
      <c r="G66">
        <f xml:space="preserve"> 129 + 260 + 93</f>
        <v>482</v>
      </c>
      <c r="H66">
        <f xml:space="preserve"> 2.66 + 21.93 + 0.68</f>
        <v>25.27</v>
      </c>
      <c r="I66">
        <f xml:space="preserve"> 0.28 + 14.55 + 4.01</f>
        <v>18.84</v>
      </c>
      <c r="J66">
        <f xml:space="preserve"> 27.9 + 10.76 + 2.68</f>
        <v>41.339999999999996</v>
      </c>
    </row>
    <row r="67" spans="1:10" x14ac:dyDescent="0.25">
      <c r="A67">
        <v>65</v>
      </c>
      <c r="C67" t="s">
        <v>82</v>
      </c>
      <c r="F67" s="1">
        <v>31000</v>
      </c>
      <c r="G67">
        <f xml:space="preserve"> 129 + 260</f>
        <v>389</v>
      </c>
      <c r="H67">
        <f xml:space="preserve"> 2.66 + 21.93</f>
        <v>24.59</v>
      </c>
      <c r="I67">
        <f xml:space="preserve"> 0.28 + 14.55</f>
        <v>14.83</v>
      </c>
      <c r="J67">
        <f xml:space="preserve"> 27.9 + 10.76</f>
        <v>38.659999999999997</v>
      </c>
    </row>
    <row r="68" spans="1:10" x14ac:dyDescent="0.25">
      <c r="A68">
        <v>66</v>
      </c>
      <c r="C68" t="s">
        <v>83</v>
      </c>
      <c r="F68" s="1">
        <v>32000</v>
      </c>
      <c r="G68">
        <f xml:space="preserve"> 129 + 165</f>
        <v>294</v>
      </c>
      <c r="H68">
        <f xml:space="preserve"> 2.66 + 31</f>
        <v>33.659999999999997</v>
      </c>
      <c r="I68">
        <f xml:space="preserve"> 0.28 + 7</f>
        <v>7.28</v>
      </c>
      <c r="J68">
        <f xml:space="preserve"> 27.9 + 4</f>
        <v>31.9</v>
      </c>
    </row>
    <row r="69" spans="1:10" x14ac:dyDescent="0.25">
      <c r="A69">
        <v>67</v>
      </c>
      <c r="B69" t="s">
        <v>84</v>
      </c>
      <c r="C69" t="s">
        <v>85</v>
      </c>
      <c r="D69">
        <v>110.41893</v>
      </c>
      <c r="E69">
        <v>-7.687405</v>
      </c>
      <c r="F69" s="1">
        <v>24000</v>
      </c>
      <c r="G69">
        <f xml:space="preserve"> 161 + 144</f>
        <v>305</v>
      </c>
      <c r="H69">
        <f xml:space="preserve"> 18.01 + 2.77</f>
        <v>20.78</v>
      </c>
      <c r="I69">
        <f xml:space="preserve"> 6.63 + 0.22</f>
        <v>6.85</v>
      </c>
      <c r="J69">
        <f xml:space="preserve"> 6.79 + 31.76</f>
        <v>38.550000000000004</v>
      </c>
    </row>
    <row r="70" spans="1:10" x14ac:dyDescent="0.25">
      <c r="A70">
        <v>68</v>
      </c>
      <c r="C70" t="s">
        <v>86</v>
      </c>
      <c r="F70" s="1">
        <v>23000</v>
      </c>
      <c r="G70">
        <f xml:space="preserve"> 129 + 195</f>
        <v>324</v>
      </c>
      <c r="H70">
        <f xml:space="preserve"> 2.66 + 19.68</f>
        <v>22.34</v>
      </c>
      <c r="I70">
        <f xml:space="preserve"> 0.28 + 11.07</f>
        <v>11.35</v>
      </c>
      <c r="J70">
        <f xml:space="preserve"> 27.9 + 4.49</f>
        <v>32.39</v>
      </c>
    </row>
    <row r="71" spans="1:10" x14ac:dyDescent="0.25">
      <c r="A71">
        <v>69</v>
      </c>
      <c r="C71" t="s">
        <v>87</v>
      </c>
      <c r="F71" s="1">
        <v>23000</v>
      </c>
      <c r="G71">
        <f xml:space="preserve"> 129 + 410</f>
        <v>539</v>
      </c>
      <c r="H71">
        <f xml:space="preserve"> 2.66 + 33.2</f>
        <v>35.86</v>
      </c>
      <c r="I71">
        <f xml:space="preserve"> 0.28 + 25.6</f>
        <v>25.880000000000003</v>
      </c>
      <c r="J71">
        <f xml:space="preserve"> 27.9 + 11</f>
        <v>38.9</v>
      </c>
    </row>
    <row r="72" spans="1:10" x14ac:dyDescent="0.25">
      <c r="A72">
        <v>70</v>
      </c>
      <c r="C72" t="s">
        <v>88</v>
      </c>
      <c r="F72" s="1">
        <v>23000</v>
      </c>
      <c r="G72">
        <f xml:space="preserve"> 129 + 250</f>
        <v>379</v>
      </c>
      <c r="H72">
        <f xml:space="preserve"> 2.66 + 24</f>
        <v>26.66</v>
      </c>
      <c r="I72">
        <f xml:space="preserve"> 0.28 + 15</f>
        <v>15.28</v>
      </c>
      <c r="J72">
        <f xml:space="preserve"> 27.9 + 8</f>
        <v>35.9</v>
      </c>
    </row>
    <row r="73" spans="1:10" x14ac:dyDescent="0.25">
      <c r="A73">
        <v>71</v>
      </c>
      <c r="C73" t="s">
        <v>89</v>
      </c>
      <c r="F73" s="1">
        <v>23000</v>
      </c>
      <c r="G73">
        <f xml:space="preserve"> 129 + 100+ 135</f>
        <v>364</v>
      </c>
      <c r="H73">
        <f xml:space="preserve"> 2.66 + 10.88 + 1.78</f>
        <v>15.32</v>
      </c>
      <c r="I73">
        <f xml:space="preserve"> 0.28 + 4.53 + 12.43</f>
        <v>17.240000000000002</v>
      </c>
      <c r="J73">
        <f xml:space="preserve"> 27.9 + 4.16 + 6.74</f>
        <v>38.800000000000004</v>
      </c>
    </row>
    <row r="74" spans="1:10" x14ac:dyDescent="0.25">
      <c r="A74">
        <v>72</v>
      </c>
      <c r="C74" t="s">
        <v>90</v>
      </c>
      <c r="F74" s="1">
        <v>23000</v>
      </c>
      <c r="G74">
        <f xml:space="preserve"> 129 + 105 + 135</f>
        <v>369</v>
      </c>
      <c r="H74">
        <f xml:space="preserve"> 2.66 + 18.3 + 1.78</f>
        <v>22.740000000000002</v>
      </c>
      <c r="I74">
        <f xml:space="preserve"> 0.28 + 3 + 12.43</f>
        <v>15.71</v>
      </c>
      <c r="J74">
        <f xml:space="preserve"> 27.9 + 0 + 6.74</f>
        <v>34.64</v>
      </c>
    </row>
    <row r="75" spans="1:10" x14ac:dyDescent="0.25">
      <c r="A75">
        <v>73</v>
      </c>
      <c r="C75" t="s">
        <v>91</v>
      </c>
      <c r="F75" s="1">
        <v>23000</v>
      </c>
      <c r="G75">
        <v>295</v>
      </c>
      <c r="H75">
        <v>19.88</v>
      </c>
      <c r="I75">
        <v>9.01</v>
      </c>
      <c r="J75">
        <v>29.3</v>
      </c>
    </row>
    <row r="76" spans="1:10" x14ac:dyDescent="0.25">
      <c r="A76">
        <v>74</v>
      </c>
      <c r="C76" t="s">
        <v>92</v>
      </c>
      <c r="F76" s="1">
        <v>21000</v>
      </c>
      <c r="G76">
        <f xml:space="preserve"> 129 + 168</f>
        <v>297</v>
      </c>
      <c r="H76">
        <f xml:space="preserve"> 2.66 + 11.92</f>
        <v>14.58</v>
      </c>
      <c r="I76">
        <f xml:space="preserve"> 0.28 + 12.38</f>
        <v>12.66</v>
      </c>
      <c r="J76">
        <f xml:space="preserve"> 27.9 + 3.33</f>
        <v>31.229999999999997</v>
      </c>
    </row>
    <row r="77" spans="1:10" x14ac:dyDescent="0.25">
      <c r="A77">
        <v>75</v>
      </c>
      <c r="C77" t="s">
        <v>93</v>
      </c>
      <c r="F77" s="1">
        <v>21000</v>
      </c>
      <c r="G77">
        <f xml:space="preserve"> 129 + 213</f>
        <v>342</v>
      </c>
      <c r="H77">
        <f xml:space="preserve"> 2.66 + 17.15</f>
        <v>19.809999999999999</v>
      </c>
      <c r="I77">
        <f xml:space="preserve"> 0.28 + 14.05</f>
        <v>14.33</v>
      </c>
      <c r="J77">
        <f xml:space="preserve"> 27.9 + 4.03</f>
        <v>31.93</v>
      </c>
    </row>
    <row r="78" spans="1:10" x14ac:dyDescent="0.25">
      <c r="A78">
        <v>76</v>
      </c>
      <c r="C78" t="s">
        <v>94</v>
      </c>
      <c r="F78" s="1">
        <v>22000</v>
      </c>
      <c r="G78">
        <f xml:space="preserve"> 129 + 167</f>
        <v>296</v>
      </c>
      <c r="H78">
        <f xml:space="preserve"> 2.66 + 19.32</f>
        <v>21.98</v>
      </c>
      <c r="I78">
        <f xml:space="preserve"> 0.28 + 9.36</f>
        <v>9.6399999999999988</v>
      </c>
      <c r="J78">
        <f xml:space="preserve"> 27.9 + 0</f>
        <v>27.9</v>
      </c>
    </row>
    <row r="79" spans="1:10" x14ac:dyDescent="0.25">
      <c r="A79">
        <v>77</v>
      </c>
      <c r="C79" t="s">
        <v>95</v>
      </c>
      <c r="F79" s="1">
        <v>19000</v>
      </c>
      <c r="G79">
        <f xml:space="preserve"> 129 + 105</f>
        <v>234</v>
      </c>
      <c r="H79">
        <f xml:space="preserve"> 2.66 + 18.47</f>
        <v>21.13</v>
      </c>
      <c r="I79">
        <f xml:space="preserve"> 0.28 + 2.85</f>
        <v>3.13</v>
      </c>
      <c r="J79">
        <f xml:space="preserve"> 27.9 + 0</f>
        <v>27.9</v>
      </c>
    </row>
    <row r="80" spans="1:10" x14ac:dyDescent="0.25">
      <c r="A80">
        <v>78</v>
      </c>
      <c r="C80" t="s">
        <v>96</v>
      </c>
      <c r="F80" s="1">
        <v>15000</v>
      </c>
      <c r="G80">
        <f xml:space="preserve"> 129 + 93</f>
        <v>222</v>
      </c>
      <c r="H80">
        <f xml:space="preserve"> 2.66 + 6.48</f>
        <v>9.14</v>
      </c>
      <c r="I80">
        <f xml:space="preserve"> 0.28 + 7.33</f>
        <v>7.61</v>
      </c>
      <c r="J80">
        <f xml:space="preserve"> 27.9 + 0.42</f>
        <v>28.32</v>
      </c>
    </row>
    <row r="81" spans="1:10" x14ac:dyDescent="0.25">
      <c r="A81">
        <v>79</v>
      </c>
      <c r="C81" t="s">
        <v>97</v>
      </c>
      <c r="F81" s="1">
        <v>14000</v>
      </c>
      <c r="G81">
        <f xml:space="preserve"> 129 + 143</f>
        <v>272</v>
      </c>
      <c r="H81">
        <f xml:space="preserve"> 2.66 + 0.61</f>
        <v>3.27</v>
      </c>
      <c r="I81">
        <f xml:space="preserve"> 0.28 + 1.49</f>
        <v>1.77</v>
      </c>
      <c r="J81">
        <f xml:space="preserve"> 27.9 + 3.31</f>
        <v>31.209999999999997</v>
      </c>
    </row>
    <row r="82" spans="1:10" x14ac:dyDescent="0.25">
      <c r="A82">
        <v>80</v>
      </c>
      <c r="C82" t="s">
        <v>98</v>
      </c>
      <c r="F82" s="1">
        <v>17000</v>
      </c>
      <c r="G82">
        <f xml:space="preserve"> 129 + 140</f>
        <v>269</v>
      </c>
      <c r="H82">
        <f xml:space="preserve"> 2.66 + 6.74</f>
        <v>9.4</v>
      </c>
      <c r="I82">
        <f xml:space="preserve"> 0.28 + 1.01</f>
        <v>1.29</v>
      </c>
      <c r="J82">
        <f xml:space="preserve"> 27.9 + 28.76</f>
        <v>56.66</v>
      </c>
    </row>
    <row r="83" spans="1:10" x14ac:dyDescent="0.25">
      <c r="A83">
        <v>81</v>
      </c>
      <c r="C83" t="s">
        <v>99</v>
      </c>
      <c r="F83" s="1">
        <v>9000</v>
      </c>
      <c r="G83">
        <f xml:space="preserve"> 129 + 112</f>
        <v>241</v>
      </c>
      <c r="H83">
        <f xml:space="preserve"> 2.66 + 3.15</f>
        <v>5.8100000000000005</v>
      </c>
      <c r="I83">
        <f xml:space="preserve"> 0.28 + 9.5</f>
        <v>9.7799999999999994</v>
      </c>
      <c r="J83">
        <f xml:space="preserve"> 27.9 + 6.28</f>
        <v>34.18</v>
      </c>
    </row>
    <row r="84" spans="1:10" x14ac:dyDescent="0.25">
      <c r="A84">
        <v>82</v>
      </c>
      <c r="C84" t="s">
        <v>100</v>
      </c>
      <c r="F84" s="1">
        <v>21000</v>
      </c>
      <c r="G84">
        <f xml:space="preserve"> 129 + 128</f>
        <v>257</v>
      </c>
      <c r="H84">
        <f xml:space="preserve"> 2.66 + 26.15</f>
        <v>28.81</v>
      </c>
      <c r="I84">
        <f xml:space="preserve"> 0.28 + 2.65</f>
        <v>2.9299999999999997</v>
      </c>
      <c r="J84">
        <f xml:space="preserve"> 27.9 + 0</f>
        <v>27.9</v>
      </c>
    </row>
    <row r="85" spans="1:10" x14ac:dyDescent="0.25">
      <c r="A85">
        <v>83</v>
      </c>
      <c r="C85" t="s">
        <v>101</v>
      </c>
      <c r="F85" s="1">
        <v>14000</v>
      </c>
      <c r="G85">
        <f xml:space="preserve"> 129 + 71</f>
        <v>200</v>
      </c>
      <c r="H85">
        <f xml:space="preserve"> 2.66 + 3.57</f>
        <v>6.23</v>
      </c>
      <c r="I85">
        <f xml:space="preserve"> 0.28 + 5.75</f>
        <v>6.03</v>
      </c>
      <c r="J85">
        <f xml:space="preserve"> 27.9 + 1.22</f>
        <v>29.119999999999997</v>
      </c>
    </row>
    <row r="86" spans="1:10" x14ac:dyDescent="0.25">
      <c r="A86">
        <v>84</v>
      </c>
      <c r="B86" t="s">
        <v>102</v>
      </c>
      <c r="C86" t="s">
        <v>103</v>
      </c>
      <c r="D86">
        <v>110.409693</v>
      </c>
      <c r="E86">
        <v>-7.6914720000000001</v>
      </c>
      <c r="F86" s="1">
        <v>24800</v>
      </c>
      <c r="G86">
        <f xml:space="preserve"> 129 + 345</f>
        <v>474</v>
      </c>
      <c r="H86">
        <f xml:space="preserve"> 2.66 + 23.37</f>
        <v>26.03</v>
      </c>
      <c r="I86">
        <f xml:space="preserve"> 0.28 + 22.87</f>
        <v>23.150000000000002</v>
      </c>
      <c r="J86">
        <f xml:space="preserve"> 27.9 + 17.53</f>
        <v>45.43</v>
      </c>
    </row>
    <row r="87" spans="1:10" x14ac:dyDescent="0.25">
      <c r="A87">
        <v>85</v>
      </c>
      <c r="C87" t="s">
        <v>104</v>
      </c>
      <c r="F87" s="1">
        <v>19800</v>
      </c>
      <c r="G87">
        <f xml:space="preserve"> 129 + 186</f>
        <v>315</v>
      </c>
      <c r="H87">
        <f xml:space="preserve"> 2.66 + 20.86</f>
        <v>23.52</v>
      </c>
      <c r="I87">
        <f xml:space="preserve"> 0.28 + 10.46</f>
        <v>10.74</v>
      </c>
      <c r="J87">
        <f xml:space="preserve"> 27.9 + 0.74</f>
        <v>28.639999999999997</v>
      </c>
    </row>
    <row r="88" spans="1:10" x14ac:dyDescent="0.25">
      <c r="A88">
        <v>86</v>
      </c>
      <c r="C88" t="s">
        <v>105</v>
      </c>
      <c r="F88" s="1">
        <v>27800</v>
      </c>
      <c r="G88">
        <f xml:space="preserve"> 193</f>
        <v>193</v>
      </c>
      <c r="H88">
        <f xml:space="preserve"> 6.09</f>
        <v>6.09</v>
      </c>
      <c r="I88">
        <f xml:space="preserve"> 7.04</f>
        <v>7.04</v>
      </c>
      <c r="J88">
        <f xml:space="preserve"> 26.04</f>
        <v>26.04</v>
      </c>
    </row>
    <row r="89" spans="1:10" x14ac:dyDescent="0.25">
      <c r="A89">
        <v>87</v>
      </c>
      <c r="B89" t="s">
        <v>106</v>
      </c>
      <c r="C89" t="s">
        <v>107</v>
      </c>
      <c r="D89">
        <v>110.41614300000001</v>
      </c>
      <c r="E89">
        <v>-7.6850480000000001</v>
      </c>
      <c r="F89" s="1">
        <v>27900</v>
      </c>
      <c r="G89">
        <f>281 + 174</f>
        <v>455</v>
      </c>
      <c r="H89">
        <f xml:space="preserve"> 14.5 + 15.21</f>
        <v>29.71</v>
      </c>
      <c r="I89">
        <f xml:space="preserve"> 13.25 + 8.24</f>
        <v>21.490000000000002</v>
      </c>
      <c r="J89">
        <f xml:space="preserve"> 25.39 + 9.29</f>
        <v>34.68</v>
      </c>
    </row>
    <row r="90" spans="1:10" x14ac:dyDescent="0.25">
      <c r="A90">
        <v>88</v>
      </c>
      <c r="C90" t="s">
        <v>108</v>
      </c>
      <c r="F90" s="1">
        <v>27900</v>
      </c>
      <c r="G90">
        <f xml:space="preserve"> 281 + 180</f>
        <v>461</v>
      </c>
      <c r="H90">
        <f xml:space="preserve"> 14.5 + 6</f>
        <v>20.5</v>
      </c>
      <c r="I90">
        <f xml:space="preserve"> 13.25 + 7</f>
        <v>20.25</v>
      </c>
      <c r="J90">
        <f xml:space="preserve"> 25.39 + 20</f>
        <v>45.39</v>
      </c>
    </row>
    <row r="91" spans="1:10" x14ac:dyDescent="0.25">
      <c r="A91">
        <v>89</v>
      </c>
      <c r="C91" t="s">
        <v>109</v>
      </c>
      <c r="F91" s="1">
        <v>27900</v>
      </c>
      <c r="G91">
        <f xml:space="preserve"> 281 + 170</f>
        <v>451</v>
      </c>
      <c r="H91">
        <f xml:space="preserve"> 14.5 + 6</f>
        <v>20.5</v>
      </c>
      <c r="I91">
        <f xml:space="preserve"> 13.25  + 5</f>
        <v>18.25</v>
      </c>
      <c r="J91">
        <f xml:space="preserve"> 25.39 + 22</f>
        <v>47.39</v>
      </c>
    </row>
    <row r="92" spans="1:10" x14ac:dyDescent="0.25">
      <c r="A92">
        <v>90</v>
      </c>
      <c r="C92" t="s">
        <v>110</v>
      </c>
      <c r="F92" s="1">
        <v>27900</v>
      </c>
      <c r="G92">
        <f xml:space="preserve"> 281 + 188</f>
        <v>469</v>
      </c>
      <c r="H92">
        <f xml:space="preserve"> 14.5 + 6</f>
        <v>20.5</v>
      </c>
      <c r="I92">
        <f xml:space="preserve"> 13.25 + 7</f>
        <v>20.25</v>
      </c>
      <c r="J92">
        <f xml:space="preserve"> 25.39 + 25</f>
        <v>50.39</v>
      </c>
    </row>
    <row r="93" spans="1:10" x14ac:dyDescent="0.25">
      <c r="A93">
        <v>91</v>
      </c>
      <c r="C93" t="s">
        <v>111</v>
      </c>
      <c r="F93" s="1">
        <v>27900</v>
      </c>
      <c r="G93">
        <f xml:space="preserve"> 281 + 165</f>
        <v>446</v>
      </c>
      <c r="H93">
        <f xml:space="preserve"> 14.5 + 8</f>
        <v>22.5</v>
      </c>
      <c r="I93">
        <f xml:space="preserve"> 13.25 + 5</f>
        <v>18.25</v>
      </c>
      <c r="J93">
        <f xml:space="preserve"> 25.39 + 20</f>
        <v>45.39</v>
      </c>
    </row>
    <row r="94" spans="1:10" x14ac:dyDescent="0.25">
      <c r="A94">
        <v>92</v>
      </c>
      <c r="C94" t="s">
        <v>112</v>
      </c>
      <c r="F94" s="1">
        <v>27900</v>
      </c>
      <c r="G94">
        <f xml:space="preserve"> 281 + 175</f>
        <v>456</v>
      </c>
      <c r="H94">
        <f xml:space="preserve"> 14.5 + 7</f>
        <v>21.5</v>
      </c>
      <c r="I94">
        <f xml:space="preserve"> 13.25 + 8</f>
        <v>21.25</v>
      </c>
      <c r="J94">
        <f xml:space="preserve"> 25.39 + 23</f>
        <v>48.39</v>
      </c>
    </row>
    <row r="95" spans="1:10" x14ac:dyDescent="0.25">
      <c r="A95">
        <v>93</v>
      </c>
      <c r="B95" t="s">
        <v>113</v>
      </c>
      <c r="C95" t="s">
        <v>114</v>
      </c>
      <c r="D95">
        <v>110.416713</v>
      </c>
      <c r="E95">
        <v>-7.6746369999999997</v>
      </c>
      <c r="F95" s="1">
        <v>21600</v>
      </c>
      <c r="G95">
        <f xml:space="preserve"> 159 + 263</f>
        <v>422</v>
      </c>
      <c r="H95">
        <f xml:space="preserve"> 4.87 + 17.61</f>
        <v>22.48</v>
      </c>
      <c r="I95">
        <f xml:space="preserve"> 6.33 + 17.99</f>
        <v>24.32</v>
      </c>
      <c r="J95">
        <f xml:space="preserve"> 20.7 + 7.6</f>
        <v>28.299999999999997</v>
      </c>
    </row>
    <row r="96" spans="1:10" x14ac:dyDescent="0.25">
      <c r="A96">
        <v>94</v>
      </c>
      <c r="C96" t="s">
        <v>115</v>
      </c>
      <c r="F96" s="1">
        <v>21600</v>
      </c>
      <c r="G96">
        <f xml:space="preserve"> 159 + 237</f>
        <v>396</v>
      </c>
      <c r="H96">
        <f xml:space="preserve"> 4.87 + 27.07</f>
        <v>31.94</v>
      </c>
      <c r="I96">
        <f xml:space="preserve"> 6.33 + 13.49</f>
        <v>19.82</v>
      </c>
      <c r="J96">
        <f xml:space="preserve"> 20.7 + 0</f>
        <v>20.7</v>
      </c>
    </row>
    <row r="97" spans="1:10" x14ac:dyDescent="0.25">
      <c r="A97">
        <v>95</v>
      </c>
      <c r="C97" t="s">
        <v>116</v>
      </c>
      <c r="F97" s="1">
        <v>21600</v>
      </c>
      <c r="G97">
        <f xml:space="preserve"> 159 + 260</f>
        <v>419</v>
      </c>
      <c r="H97">
        <f xml:space="preserve"> 4.87 + 21.93</f>
        <v>26.8</v>
      </c>
      <c r="I97">
        <f xml:space="preserve"> 6.33 + 14.55</f>
        <v>20.880000000000003</v>
      </c>
      <c r="J97">
        <f xml:space="preserve"> 20.7 + 10.76</f>
        <v>31.46</v>
      </c>
    </row>
    <row r="98" spans="1:10" x14ac:dyDescent="0.25">
      <c r="A98">
        <v>96</v>
      </c>
      <c r="C98" s="3" t="s">
        <v>117</v>
      </c>
      <c r="D98" s="3"/>
      <c r="E98" s="3"/>
      <c r="F98" s="1">
        <v>21600</v>
      </c>
      <c r="G98">
        <f xml:space="preserve"> 159 + 195</f>
        <v>354</v>
      </c>
      <c r="H98">
        <f xml:space="preserve"> 4.87 + 22</f>
        <v>26.87</v>
      </c>
      <c r="I98">
        <f xml:space="preserve"> 6.33 + 8</f>
        <v>14.33</v>
      </c>
      <c r="J98">
        <f xml:space="preserve"> 20.7 + 3</f>
        <v>23.7</v>
      </c>
    </row>
    <row r="99" spans="1:10" x14ac:dyDescent="0.25">
      <c r="A99">
        <v>97</v>
      </c>
      <c r="B99" t="s">
        <v>118</v>
      </c>
      <c r="C99" t="s">
        <v>119</v>
      </c>
      <c r="D99">
        <v>110.409685</v>
      </c>
      <c r="E99">
        <v>-7.6834040000000003</v>
      </c>
      <c r="F99" s="1">
        <v>34000</v>
      </c>
      <c r="G99">
        <v>150</v>
      </c>
      <c r="H99">
        <v>8</v>
      </c>
      <c r="I99">
        <v>4</v>
      </c>
      <c r="J99">
        <v>19</v>
      </c>
    </row>
    <row r="100" spans="1:10" x14ac:dyDescent="0.25">
      <c r="A100">
        <v>98</v>
      </c>
      <c r="C100" t="s">
        <v>120</v>
      </c>
      <c r="F100" s="1">
        <v>35000</v>
      </c>
      <c r="G100">
        <f xml:space="preserve"> 129 + 171</f>
        <v>300</v>
      </c>
      <c r="H100">
        <f xml:space="preserve"> 2.66 + 16.87</f>
        <v>19.53</v>
      </c>
      <c r="I100">
        <f xml:space="preserve"> 0.28 + 8.22</f>
        <v>8.5</v>
      </c>
      <c r="J100">
        <f xml:space="preserve"> 27.9 + 6.77</f>
        <v>34.67</v>
      </c>
    </row>
    <row r="101" spans="1:10" x14ac:dyDescent="0.25">
      <c r="A101">
        <v>99</v>
      </c>
      <c r="C101" t="s">
        <v>121</v>
      </c>
      <c r="F101" s="1">
        <v>32000</v>
      </c>
      <c r="G101">
        <f xml:space="preserve"> 129 + 42 + 93</f>
        <v>264</v>
      </c>
      <c r="H101">
        <f xml:space="preserve"> 2.66 + 2.05 + 6.48</f>
        <v>11.190000000000001</v>
      </c>
      <c r="I101">
        <f xml:space="preserve"> 0.28 + 2.24 + 7.33</f>
        <v>9.8500000000000014</v>
      </c>
      <c r="J101">
        <f xml:space="preserve"> 27.9 + 4.81 + 0.42</f>
        <v>33.130000000000003</v>
      </c>
    </row>
    <row r="102" spans="1:10" x14ac:dyDescent="0.25">
      <c r="A102">
        <v>100</v>
      </c>
      <c r="C102" t="s">
        <v>122</v>
      </c>
      <c r="F102" s="1">
        <v>34000</v>
      </c>
      <c r="G102">
        <f xml:space="preserve"> 129 + 215 + 80</f>
        <v>424</v>
      </c>
      <c r="H102">
        <f xml:space="preserve"> 2.66 + 19.4 + 1</f>
        <v>23.06</v>
      </c>
      <c r="I102">
        <f xml:space="preserve"> 0.28 + 14.6 + 5</f>
        <v>19.88</v>
      </c>
      <c r="J102">
        <f xml:space="preserve"> 27.9 + 0.2 + 6</f>
        <v>34.099999999999994</v>
      </c>
    </row>
    <row r="103" spans="1:10" x14ac:dyDescent="0.25">
      <c r="A103">
        <v>101</v>
      </c>
      <c r="B103" t="s">
        <v>123</v>
      </c>
      <c r="C103" t="s">
        <v>124</v>
      </c>
      <c r="D103">
        <v>110.416662</v>
      </c>
      <c r="E103">
        <v>-7.6976310000000003</v>
      </c>
      <c r="F103" s="1">
        <v>28000</v>
      </c>
      <c r="G103">
        <f xml:space="preserve"> 373 - 135 + 129</f>
        <v>367</v>
      </c>
      <c r="H103">
        <f xml:space="preserve"> 23.3- 2.79 + 2.66</f>
        <v>23.17</v>
      </c>
      <c r="I103">
        <f xml:space="preserve"> 15.83 + 0.29 -0.28</f>
        <v>15.840000000000002</v>
      </c>
      <c r="J103">
        <f xml:space="preserve"> 34.41 - 29.7 + 27.9</f>
        <v>32.61</v>
      </c>
    </row>
    <row r="104" spans="1:10" x14ac:dyDescent="0.25">
      <c r="A104">
        <v>102</v>
      </c>
      <c r="C104" t="s">
        <v>125</v>
      </c>
      <c r="F104" s="1">
        <v>28000</v>
      </c>
      <c r="G104">
        <f xml:space="preserve"> 475 -135 + 129</f>
        <v>469</v>
      </c>
      <c r="H104">
        <f xml:space="preserve"> 32.09 - 0.13</f>
        <v>31.960000000000004</v>
      </c>
      <c r="I104">
        <f xml:space="preserve"> 22.49 - 0.01</f>
        <v>22.479999999999997</v>
      </c>
      <c r="J104">
        <f xml:space="preserve"> 36.6 - 1.8</f>
        <v>34.800000000000004</v>
      </c>
    </row>
    <row r="105" spans="1:10" x14ac:dyDescent="0.25">
      <c r="A105">
        <v>103</v>
      </c>
      <c r="C105" t="s">
        <v>126</v>
      </c>
      <c r="F105" s="1">
        <v>32000</v>
      </c>
      <c r="G105">
        <f xml:space="preserve"> 577 -135 + 129</f>
        <v>571</v>
      </c>
      <c r="H105">
        <f xml:space="preserve"> 40.88 - 0.13</f>
        <v>40.75</v>
      </c>
      <c r="I105">
        <f xml:space="preserve"> 29.15 - 0.01</f>
        <v>29.139999999999997</v>
      </c>
      <c r="J105">
        <f xml:space="preserve"> 38.79 - 1.8</f>
        <v>36.99</v>
      </c>
    </row>
    <row r="106" spans="1:10" x14ac:dyDescent="0.25">
      <c r="A106">
        <v>104</v>
      </c>
      <c r="C106" t="s">
        <v>127</v>
      </c>
      <c r="F106" s="1">
        <v>37000</v>
      </c>
      <c r="G106">
        <f xml:space="preserve"> 645 - 135 + 129</f>
        <v>639</v>
      </c>
      <c r="H106">
        <f xml:space="preserve"> 46.74 - 0.13</f>
        <v>46.61</v>
      </c>
      <c r="I106">
        <f xml:space="preserve"> 33.59 - 0.01</f>
        <v>33.580000000000005</v>
      </c>
      <c r="J106">
        <f xml:space="preserve"> 40.25 - 1.8</f>
        <v>38.450000000000003</v>
      </c>
    </row>
    <row r="107" spans="1:10" x14ac:dyDescent="0.25">
      <c r="A107">
        <v>105</v>
      </c>
      <c r="C107" t="s">
        <v>128</v>
      </c>
      <c r="F107" s="1">
        <v>26000</v>
      </c>
      <c r="G107">
        <f xml:space="preserve"> 470 + 14</f>
        <v>484</v>
      </c>
      <c r="H107">
        <v>31.79</v>
      </c>
      <c r="I107">
        <v>22.4</v>
      </c>
      <c r="J107">
        <v>35.880000000000003</v>
      </c>
    </row>
    <row r="108" spans="1:10" x14ac:dyDescent="0.25">
      <c r="A108">
        <v>106</v>
      </c>
      <c r="C108" t="s">
        <v>129</v>
      </c>
      <c r="F108" s="1">
        <v>30000</v>
      </c>
      <c r="G108">
        <f xml:space="preserve"> 408 + 14</f>
        <v>422</v>
      </c>
      <c r="H108">
        <v>2.4900000000000002</v>
      </c>
      <c r="I108">
        <v>0.2</v>
      </c>
      <c r="J108">
        <v>28.58</v>
      </c>
    </row>
    <row r="109" spans="1:10" x14ac:dyDescent="0.25">
      <c r="A109">
        <v>107</v>
      </c>
      <c r="C109" t="s">
        <v>130</v>
      </c>
      <c r="F109" s="1">
        <v>32000</v>
      </c>
      <c r="G109">
        <f xml:space="preserve"> 572 + 14</f>
        <v>586</v>
      </c>
      <c r="H109">
        <v>40.58</v>
      </c>
      <c r="I109">
        <v>29.06</v>
      </c>
      <c r="J109">
        <v>38.07</v>
      </c>
    </row>
    <row r="110" spans="1:10" x14ac:dyDescent="0.25">
      <c r="A110">
        <v>108</v>
      </c>
      <c r="C110" t="s">
        <v>131</v>
      </c>
      <c r="F110" s="1">
        <v>37000</v>
      </c>
      <c r="G110">
        <f xml:space="preserve"> 640 + 14</f>
        <v>654</v>
      </c>
      <c r="H110">
        <v>46.44</v>
      </c>
      <c r="I110">
        <v>33.5</v>
      </c>
      <c r="J110">
        <v>39.53</v>
      </c>
    </row>
    <row r="111" spans="1:10" x14ac:dyDescent="0.25">
      <c r="A111">
        <v>109</v>
      </c>
      <c r="B111" t="s">
        <v>132</v>
      </c>
      <c r="C111" t="s">
        <v>133</v>
      </c>
      <c r="D111">
        <v>110.412583</v>
      </c>
      <c r="E111">
        <v>-7.6834480000000003</v>
      </c>
      <c r="F111" s="1">
        <v>16000</v>
      </c>
      <c r="G111">
        <f xml:space="preserve"> 175 + 69</f>
        <v>244</v>
      </c>
      <c r="H111">
        <f xml:space="preserve"> 6.96 +2.52</f>
        <v>9.48</v>
      </c>
      <c r="I111">
        <f xml:space="preserve"> 7.81 + 3.77</f>
        <v>11.58</v>
      </c>
      <c r="J111">
        <f xml:space="preserve"> 19.25 + 6.09</f>
        <v>25.34</v>
      </c>
    </row>
    <row r="112" spans="1:10" x14ac:dyDescent="0.25">
      <c r="A112">
        <v>110</v>
      </c>
      <c r="C112" t="s">
        <v>134</v>
      </c>
      <c r="F112" s="1">
        <v>19500</v>
      </c>
      <c r="G112">
        <v>160</v>
      </c>
      <c r="H112">
        <v>10</v>
      </c>
      <c r="I112">
        <v>9</v>
      </c>
      <c r="J112">
        <v>12</v>
      </c>
    </row>
    <row r="113" spans="1:10" x14ac:dyDescent="0.25">
      <c r="A113">
        <v>111</v>
      </c>
      <c r="B113" t="s">
        <v>135</v>
      </c>
      <c r="C113" s="3" t="s">
        <v>136</v>
      </c>
      <c r="D113" s="3">
        <v>110.418498</v>
      </c>
      <c r="E113" s="3">
        <v>-7.6922769999999998</v>
      </c>
      <c r="F113" s="1">
        <v>18750</v>
      </c>
      <c r="G113">
        <f xml:space="preserve"> 129 + 127 + 80</f>
        <v>336</v>
      </c>
      <c r="H113">
        <f xml:space="preserve"> 2.66 + 1.82 + 7</f>
        <v>11.48</v>
      </c>
      <c r="I113">
        <f xml:space="preserve"> 0.28 + 4.71 + 5</f>
        <v>9.99</v>
      </c>
      <c r="J113">
        <f xml:space="preserve"> 27.9 + 22.54 + 2</f>
        <v>52.44</v>
      </c>
    </row>
    <row r="114" spans="1:10" x14ac:dyDescent="0.25">
      <c r="A114">
        <v>112</v>
      </c>
      <c r="C114" s="3" t="s">
        <v>137</v>
      </c>
      <c r="D114" s="3"/>
      <c r="E114" s="3"/>
      <c r="F114" s="1">
        <v>21250</v>
      </c>
      <c r="G114">
        <f xml:space="preserve"> 129 + 127 + 80 + 25</f>
        <v>361</v>
      </c>
      <c r="H114">
        <f xml:space="preserve"> 2.66 + 1.82 + 7 + 2.23</f>
        <v>13.71</v>
      </c>
      <c r="I114">
        <f xml:space="preserve"> 0.28 + 4.71 + 5 + 2.62</f>
        <v>12.61</v>
      </c>
      <c r="J114">
        <f xml:space="preserve"> 27.9 + 22.54 + 2 + 1.36</f>
        <v>53.8</v>
      </c>
    </row>
    <row r="115" spans="1:10" x14ac:dyDescent="0.25">
      <c r="A115">
        <v>113</v>
      </c>
      <c r="B115" t="s">
        <v>138</v>
      </c>
      <c r="C115" t="s">
        <v>139</v>
      </c>
      <c r="D115">
        <v>110.41763400000001</v>
      </c>
      <c r="E115">
        <v>-7.6967080000000001</v>
      </c>
      <c r="F115" s="1">
        <v>47000</v>
      </c>
      <c r="G115">
        <v>390</v>
      </c>
      <c r="H115">
        <v>6</v>
      </c>
      <c r="I115">
        <v>3</v>
      </c>
      <c r="J115">
        <v>23</v>
      </c>
    </row>
    <row r="116" spans="1:10" x14ac:dyDescent="0.25">
      <c r="A116">
        <v>114</v>
      </c>
      <c r="C116" t="s">
        <v>140</v>
      </c>
      <c r="F116" s="1">
        <v>49500</v>
      </c>
      <c r="G116">
        <v>132</v>
      </c>
      <c r="H116">
        <f xml:space="preserve"> 14.5</f>
        <v>14.5</v>
      </c>
      <c r="I116">
        <f xml:space="preserve"> 4.94</f>
        <v>4.9400000000000004</v>
      </c>
      <c r="J116">
        <f xml:space="preserve"> 7.31</f>
        <v>7.31</v>
      </c>
    </row>
    <row r="117" spans="1:10" x14ac:dyDescent="0.25">
      <c r="A117">
        <v>115</v>
      </c>
      <c r="C117" t="s">
        <v>141</v>
      </c>
      <c r="F117" s="1">
        <v>40000</v>
      </c>
      <c r="G117">
        <v>17</v>
      </c>
      <c r="H117">
        <v>0.86</v>
      </c>
      <c r="I117">
        <v>0.16</v>
      </c>
      <c r="J117">
        <v>3.79</v>
      </c>
    </row>
    <row r="118" spans="1:10" x14ac:dyDescent="0.25">
      <c r="A118">
        <v>116</v>
      </c>
      <c r="C118" t="s">
        <v>142</v>
      </c>
      <c r="F118" s="1">
        <v>41000</v>
      </c>
      <c r="G118">
        <v>74</v>
      </c>
      <c r="H118">
        <v>4.33</v>
      </c>
      <c r="I118">
        <v>3.85</v>
      </c>
      <c r="J118">
        <v>5.91</v>
      </c>
    </row>
    <row r="119" spans="1:10" x14ac:dyDescent="0.25">
      <c r="A119">
        <v>117</v>
      </c>
      <c r="C119" t="s">
        <v>143</v>
      </c>
      <c r="F119" s="1">
        <v>41000</v>
      </c>
      <c r="G119">
        <v>53</v>
      </c>
      <c r="H119">
        <v>3.73</v>
      </c>
      <c r="I119">
        <v>2.73</v>
      </c>
      <c r="J119">
        <v>3.63</v>
      </c>
    </row>
    <row r="120" spans="1:10" x14ac:dyDescent="0.25">
      <c r="A120">
        <v>118</v>
      </c>
      <c r="C120" t="s">
        <v>144</v>
      </c>
      <c r="F120" s="1">
        <v>23000</v>
      </c>
      <c r="G120">
        <f xml:space="preserve"> 141</f>
        <v>141</v>
      </c>
      <c r="H120">
        <f xml:space="preserve"> 4.13</f>
        <v>4.13</v>
      </c>
      <c r="I120">
        <f xml:space="preserve"> 6.23</f>
        <v>6.23</v>
      </c>
      <c r="J120">
        <f xml:space="preserve"> 18.79</f>
        <v>18.79</v>
      </c>
    </row>
    <row r="121" spans="1:10" x14ac:dyDescent="0.25">
      <c r="A121">
        <v>119</v>
      </c>
      <c r="B121" t="s">
        <v>145</v>
      </c>
      <c r="C121" t="s">
        <v>146</v>
      </c>
      <c r="D121">
        <v>110.41893</v>
      </c>
      <c r="E121">
        <v>-7.688339</v>
      </c>
      <c r="F121" s="1">
        <v>22000</v>
      </c>
      <c r="G121">
        <f xml:space="preserve"> 201</f>
        <v>201</v>
      </c>
      <c r="H121">
        <v>7.8</v>
      </c>
      <c r="I121">
        <f xml:space="preserve"> 15.34/2</f>
        <v>7.67</v>
      </c>
      <c r="J121">
        <f xml:space="preserve"> 50.48/2</f>
        <v>25.24</v>
      </c>
    </row>
    <row r="122" spans="1:10" x14ac:dyDescent="0.25">
      <c r="A122">
        <v>120</v>
      </c>
      <c r="C122" t="s">
        <v>147</v>
      </c>
      <c r="F122" s="1">
        <v>27000</v>
      </c>
      <c r="G122">
        <f xml:space="preserve"> 201 + 93</f>
        <v>294</v>
      </c>
      <c r="H122">
        <f xml:space="preserve"> 7.8 + 6.48</f>
        <v>14.280000000000001</v>
      </c>
      <c r="I122">
        <f xml:space="preserve"> 7.67 + 7.33</f>
        <v>15</v>
      </c>
      <c r="J122">
        <f xml:space="preserve"> 25.24 + 0.42</f>
        <v>25.66</v>
      </c>
    </row>
    <row r="123" spans="1:10" x14ac:dyDescent="0.25">
      <c r="A123">
        <v>121</v>
      </c>
      <c r="C123" t="s">
        <v>148</v>
      </c>
      <c r="F123" s="1">
        <v>28000</v>
      </c>
      <c r="G123">
        <f xml:space="preserve"> 201 + 77</f>
        <v>278</v>
      </c>
      <c r="H123">
        <f xml:space="preserve"> 7.8 + 6.25</f>
        <v>14.05</v>
      </c>
      <c r="I123">
        <f xml:space="preserve"> 7.67 + 5.28</f>
        <v>12.95</v>
      </c>
      <c r="J123">
        <f xml:space="preserve"> 25.24 + 0.56</f>
        <v>25.799999999999997</v>
      </c>
    </row>
    <row r="124" spans="1:10" x14ac:dyDescent="0.25">
      <c r="A124">
        <v>122</v>
      </c>
      <c r="C124" t="s">
        <v>149</v>
      </c>
      <c r="F124" s="1">
        <v>27000</v>
      </c>
      <c r="G124">
        <f xml:space="preserve"> 201 + 57</f>
        <v>258</v>
      </c>
      <c r="H124">
        <f xml:space="preserve"> 7.8 +3.47</f>
        <v>11.27</v>
      </c>
      <c r="I124">
        <f xml:space="preserve"> 7.67 + 3.69</f>
        <v>11.36</v>
      </c>
      <c r="J124">
        <f xml:space="preserve"> 25.24 + 2.12</f>
        <v>27.36</v>
      </c>
    </row>
    <row r="125" spans="1:10" x14ac:dyDescent="0.25">
      <c r="A125">
        <v>123</v>
      </c>
      <c r="B125" t="s">
        <v>244</v>
      </c>
      <c r="C125" s="3" t="s">
        <v>150</v>
      </c>
      <c r="D125" s="3">
        <v>110.41884</v>
      </c>
      <c r="E125" s="3">
        <v>-7.6887499999999998</v>
      </c>
      <c r="F125" s="1">
        <v>24000</v>
      </c>
      <c r="G125">
        <f xml:space="preserve"> 129 + 110</f>
        <v>239</v>
      </c>
      <c r="H125">
        <f xml:space="preserve"> 2.66 + 8</f>
        <v>10.66</v>
      </c>
      <c r="I125">
        <f xml:space="preserve"> 0.28 + 6</f>
        <v>6.28</v>
      </c>
      <c r="J125">
        <f xml:space="preserve"> 27.9 + 3</f>
        <v>30.9</v>
      </c>
    </row>
    <row r="126" spans="1:10" x14ac:dyDescent="0.25">
      <c r="A126">
        <v>124</v>
      </c>
      <c r="C126" s="3" t="s">
        <v>151</v>
      </c>
      <c r="D126" s="3"/>
      <c r="E126" s="3"/>
      <c r="F126" s="1">
        <v>28000</v>
      </c>
      <c r="G126">
        <f xml:space="preserve"> 129 + 90</f>
        <v>219</v>
      </c>
      <c r="H126">
        <f xml:space="preserve"> 2.66+ 8</f>
        <v>10.66</v>
      </c>
      <c r="I126">
        <f xml:space="preserve"> 0.28 + 4</f>
        <v>4.28</v>
      </c>
      <c r="J126">
        <f xml:space="preserve"> 27.9 + 3</f>
        <v>30.9</v>
      </c>
    </row>
    <row r="127" spans="1:10" x14ac:dyDescent="0.25">
      <c r="A127">
        <v>125</v>
      </c>
      <c r="C127" s="3" t="s">
        <v>152</v>
      </c>
      <c r="D127" s="3"/>
      <c r="E127" s="3"/>
      <c r="F127" s="1">
        <v>26500</v>
      </c>
      <c r="G127">
        <f xml:space="preserve"> 129 + 120</f>
        <v>249</v>
      </c>
      <c r="H127">
        <f xml:space="preserve"> 2.66 + 7</f>
        <v>9.66</v>
      </c>
      <c r="I127">
        <f xml:space="preserve"> 0.28 + 5</f>
        <v>5.28</v>
      </c>
      <c r="J127">
        <f xml:space="preserve"> 27.9 + 8</f>
        <v>35.9</v>
      </c>
    </row>
    <row r="128" spans="1:10" x14ac:dyDescent="0.25">
      <c r="A128">
        <v>126</v>
      </c>
      <c r="C128" s="3" t="s">
        <v>153</v>
      </c>
      <c r="D128" s="3"/>
      <c r="E128" s="3"/>
      <c r="F128" s="1">
        <v>30700</v>
      </c>
      <c r="G128">
        <f xml:space="preserve"> 129 + 90</f>
        <v>219</v>
      </c>
      <c r="H128">
        <f xml:space="preserve"> 2.66 + 9</f>
        <v>11.66</v>
      </c>
      <c r="I128">
        <f xml:space="preserve"> 0.28 + 7</f>
        <v>7.28</v>
      </c>
      <c r="J128">
        <f xml:space="preserve"> 27.9 + 6</f>
        <v>33.9</v>
      </c>
    </row>
    <row r="129" spans="1:10" x14ac:dyDescent="0.25">
      <c r="A129">
        <v>127</v>
      </c>
      <c r="C129" s="3" t="s">
        <v>9</v>
      </c>
      <c r="D129" s="3"/>
      <c r="E129" s="3"/>
      <c r="F129" s="1">
        <v>26500</v>
      </c>
      <c r="G129">
        <f xml:space="preserve"> 129 + 165</f>
        <v>294</v>
      </c>
      <c r="H129">
        <f xml:space="preserve"> 2.66 + 11</f>
        <v>13.66</v>
      </c>
      <c r="I129">
        <f xml:space="preserve"> 0.28 + 9.5</f>
        <v>9.7799999999999994</v>
      </c>
      <c r="J129">
        <f xml:space="preserve"> 27.9 + 11</f>
        <v>38.9</v>
      </c>
    </row>
    <row r="130" spans="1:10" x14ac:dyDescent="0.25">
      <c r="A130">
        <v>128</v>
      </c>
      <c r="C130" s="3" t="s">
        <v>154</v>
      </c>
      <c r="D130" s="3"/>
      <c r="E130" s="3"/>
      <c r="F130" s="1">
        <v>26500</v>
      </c>
      <c r="G130">
        <f xml:space="preserve"> 129 + 175</f>
        <v>304</v>
      </c>
      <c r="H130">
        <f xml:space="preserve"> 2.66 + 11.5</f>
        <v>14.16</v>
      </c>
      <c r="I130">
        <f xml:space="preserve"> 0.28 + 10</f>
        <v>10.28</v>
      </c>
      <c r="J130">
        <f xml:space="preserve"> 27.9 + 12</f>
        <v>39.9</v>
      </c>
    </row>
    <row r="131" spans="1:10" x14ac:dyDescent="0.25">
      <c r="A131">
        <v>129</v>
      </c>
      <c r="B131" t="s">
        <v>155</v>
      </c>
      <c r="C131" s="3" t="s">
        <v>156</v>
      </c>
      <c r="D131" s="3">
        <v>110.41907399999999</v>
      </c>
      <c r="E131" s="3">
        <v>-7.6965700000000004</v>
      </c>
      <c r="F131" s="1">
        <v>30000</v>
      </c>
      <c r="G131">
        <f xml:space="preserve"> 215</f>
        <v>215</v>
      </c>
      <c r="H131">
        <f xml:space="preserve"> 8</f>
        <v>8</v>
      </c>
      <c r="I131">
        <f xml:space="preserve"> 10</f>
        <v>10</v>
      </c>
      <c r="J131">
        <f xml:space="preserve"> 24</f>
        <v>24</v>
      </c>
    </row>
    <row r="132" spans="1:10" x14ac:dyDescent="0.25">
      <c r="A132">
        <v>130</v>
      </c>
      <c r="C132" s="3" t="s">
        <v>157</v>
      </c>
      <c r="D132" s="3"/>
      <c r="E132" s="3"/>
      <c r="F132" s="1">
        <v>21000</v>
      </c>
      <c r="G132">
        <f xml:space="preserve"> 220</f>
        <v>220</v>
      </c>
      <c r="H132">
        <f xml:space="preserve"> 7.5</f>
        <v>7.5</v>
      </c>
      <c r="I132">
        <f xml:space="preserve"> 11</f>
        <v>11</v>
      </c>
      <c r="J132">
        <f>23</f>
        <v>23</v>
      </c>
    </row>
    <row r="133" spans="1:10" x14ac:dyDescent="0.25">
      <c r="A133">
        <v>131</v>
      </c>
      <c r="C133" s="3" t="s">
        <v>158</v>
      </c>
      <c r="D133" s="3"/>
      <c r="E133" s="3"/>
      <c r="F133" s="1">
        <v>23000</v>
      </c>
      <c r="G133">
        <f xml:space="preserve"> 225</f>
        <v>225</v>
      </c>
      <c r="H133">
        <f xml:space="preserve"> 8</f>
        <v>8</v>
      </c>
      <c r="I133">
        <f xml:space="preserve"> 11</f>
        <v>11</v>
      </c>
      <c r="J133">
        <f xml:space="preserve"> 24</f>
        <v>24</v>
      </c>
    </row>
    <row r="134" spans="1:10" x14ac:dyDescent="0.25">
      <c r="A134">
        <v>132</v>
      </c>
      <c r="C134" s="3" t="s">
        <v>159</v>
      </c>
      <c r="D134" s="3"/>
      <c r="E134" s="3"/>
      <c r="F134" s="1">
        <v>21000</v>
      </c>
      <c r="G134">
        <v>210</v>
      </c>
      <c r="H134">
        <v>8</v>
      </c>
      <c r="I134">
        <v>9.5</v>
      </c>
      <c r="J134">
        <v>23</v>
      </c>
    </row>
    <row r="135" spans="1:10" x14ac:dyDescent="0.25">
      <c r="A135">
        <v>133</v>
      </c>
      <c r="C135" s="3" t="s">
        <v>160</v>
      </c>
      <c r="D135" s="3"/>
      <c r="E135" s="3"/>
      <c r="F135" s="1">
        <v>20000</v>
      </c>
      <c r="G135">
        <v>215</v>
      </c>
      <c r="H135">
        <v>9.5</v>
      </c>
      <c r="I135">
        <v>10</v>
      </c>
      <c r="J135">
        <v>23</v>
      </c>
    </row>
    <row r="136" spans="1:10" x14ac:dyDescent="0.25">
      <c r="A136">
        <v>134</v>
      </c>
      <c r="C136" s="3" t="s">
        <v>161</v>
      </c>
      <c r="D136" s="3"/>
      <c r="E136" s="3"/>
      <c r="F136" s="1">
        <v>23000</v>
      </c>
      <c r="G136">
        <v>210</v>
      </c>
      <c r="H136">
        <v>11</v>
      </c>
      <c r="I136">
        <v>9.5</v>
      </c>
      <c r="J136">
        <v>22</v>
      </c>
    </row>
    <row r="137" spans="1:10" x14ac:dyDescent="0.25">
      <c r="A137">
        <v>135</v>
      </c>
      <c r="C137" t="s">
        <v>162</v>
      </c>
      <c r="F137" s="1">
        <v>17500</v>
      </c>
      <c r="G137">
        <v>152</v>
      </c>
      <c r="H137">
        <v>5.91</v>
      </c>
      <c r="I137">
        <v>5.68</v>
      </c>
      <c r="J137">
        <v>18.260000000000002</v>
      </c>
    </row>
    <row r="138" spans="1:10" x14ac:dyDescent="0.25">
      <c r="A138">
        <v>136</v>
      </c>
      <c r="C138" t="s">
        <v>163</v>
      </c>
      <c r="F138" s="1">
        <v>30000</v>
      </c>
      <c r="G138">
        <v>195</v>
      </c>
      <c r="H138">
        <v>9.8000000000000007</v>
      </c>
      <c r="I138">
        <v>7.5</v>
      </c>
      <c r="J138">
        <v>21.5</v>
      </c>
    </row>
    <row r="139" spans="1:10" x14ac:dyDescent="0.25">
      <c r="A139">
        <v>137</v>
      </c>
      <c r="C139" t="s">
        <v>164</v>
      </c>
      <c r="F139" s="1">
        <v>21000</v>
      </c>
      <c r="G139">
        <v>194</v>
      </c>
      <c r="H139">
        <v>7.35</v>
      </c>
      <c r="I139">
        <v>9.4600000000000009</v>
      </c>
      <c r="J139">
        <v>18.78</v>
      </c>
    </row>
    <row r="140" spans="1:10" x14ac:dyDescent="0.25">
      <c r="A140">
        <v>138</v>
      </c>
      <c r="C140" t="s">
        <v>165</v>
      </c>
      <c r="F140" s="1">
        <v>23000</v>
      </c>
      <c r="G140">
        <v>200</v>
      </c>
      <c r="H140">
        <v>8.4</v>
      </c>
      <c r="I140">
        <v>8.69</v>
      </c>
      <c r="J140">
        <v>20.87</v>
      </c>
    </row>
    <row r="141" spans="1:10" x14ac:dyDescent="0.25">
      <c r="A141">
        <v>139</v>
      </c>
      <c r="C141" t="s">
        <v>166</v>
      </c>
      <c r="F141" s="1">
        <v>21000</v>
      </c>
      <c r="G141">
        <v>209</v>
      </c>
      <c r="H141">
        <v>9.3800000000000008</v>
      </c>
      <c r="I141">
        <v>9.3699999999999992</v>
      </c>
      <c r="J141">
        <v>20.38</v>
      </c>
    </row>
    <row r="142" spans="1:10" x14ac:dyDescent="0.25">
      <c r="A142">
        <v>140</v>
      </c>
      <c r="C142" t="s">
        <v>167</v>
      </c>
      <c r="F142" s="1">
        <v>20000</v>
      </c>
      <c r="G142">
        <v>362</v>
      </c>
      <c r="H142">
        <v>34.799999999999997</v>
      </c>
      <c r="I142">
        <v>15.39</v>
      </c>
      <c r="J142">
        <v>18.260000000000002</v>
      </c>
    </row>
    <row r="143" spans="1:10" x14ac:dyDescent="0.25">
      <c r="A143">
        <v>141</v>
      </c>
      <c r="C143" t="s">
        <v>168</v>
      </c>
      <c r="F143" s="1">
        <v>23000</v>
      </c>
      <c r="G143">
        <v>297</v>
      </c>
      <c r="H143">
        <v>36.049999999999997</v>
      </c>
      <c r="I143">
        <v>8.34</v>
      </c>
      <c r="J143">
        <v>18.260000000000002</v>
      </c>
    </row>
    <row r="144" spans="1:10" x14ac:dyDescent="0.25">
      <c r="A144">
        <v>142</v>
      </c>
      <c r="B144" t="s">
        <v>169</v>
      </c>
      <c r="C144" t="s">
        <v>170</v>
      </c>
      <c r="D144">
        <v>110.41640700000001</v>
      </c>
      <c r="E144">
        <v>-7.6945430000000004</v>
      </c>
      <c r="F144" s="1">
        <v>29000</v>
      </c>
      <c r="G144">
        <f xml:space="preserve"> 129 +240</f>
        <v>369</v>
      </c>
      <c r="H144">
        <f xml:space="preserve"> 2.66 + 25</f>
        <v>27.66</v>
      </c>
      <c r="I144">
        <f xml:space="preserve"> 0.28 + 14</f>
        <v>14.28</v>
      </c>
      <c r="J144">
        <f xml:space="preserve"> 27.9 + 6</f>
        <v>33.9</v>
      </c>
    </row>
    <row r="145" spans="1:10" x14ac:dyDescent="0.25">
      <c r="A145">
        <v>143</v>
      </c>
      <c r="C145" t="s">
        <v>171</v>
      </c>
      <c r="F145" s="1">
        <v>29000</v>
      </c>
      <c r="G145">
        <f xml:space="preserve"> 129 + 275</f>
        <v>404</v>
      </c>
      <c r="H145">
        <f xml:space="preserve"> 2.66 + 23</f>
        <v>25.66</v>
      </c>
      <c r="I145">
        <f xml:space="preserve"> 0.28 + 17</f>
        <v>17.28</v>
      </c>
      <c r="J145">
        <f xml:space="preserve"> 27.9 + 12</f>
        <v>39.9</v>
      </c>
    </row>
    <row r="146" spans="1:10" x14ac:dyDescent="0.25">
      <c r="A146">
        <v>144</v>
      </c>
      <c r="C146" t="s">
        <v>172</v>
      </c>
      <c r="F146" s="1">
        <v>29000</v>
      </c>
      <c r="G146">
        <f xml:space="preserve"> 129 +  250</f>
        <v>379</v>
      </c>
      <c r="H146">
        <f xml:space="preserve"> 2.66 + 21.5</f>
        <v>24.16</v>
      </c>
      <c r="I146">
        <f xml:space="preserve"> 0.28 + 15.5</f>
        <v>15.78</v>
      </c>
      <c r="J146">
        <f xml:space="preserve"> 27.9 + 3</f>
        <v>30.9</v>
      </c>
    </row>
    <row r="147" spans="1:10" x14ac:dyDescent="0.25">
      <c r="A147">
        <v>145</v>
      </c>
      <c r="C147" t="s">
        <v>173</v>
      </c>
      <c r="F147" s="1">
        <v>31000</v>
      </c>
      <c r="G147">
        <f xml:space="preserve"> 129 + 270</f>
        <v>399</v>
      </c>
      <c r="H147">
        <f xml:space="preserve"> 2.66 +15</f>
        <v>17.66</v>
      </c>
      <c r="I147">
        <f xml:space="preserve"> 0.28 + 17</f>
        <v>17.28</v>
      </c>
      <c r="J147">
        <f xml:space="preserve"> 27.9 + 12</f>
        <v>39.9</v>
      </c>
    </row>
    <row r="148" spans="1:10" x14ac:dyDescent="0.25">
      <c r="A148">
        <v>146</v>
      </c>
      <c r="C148" t="s">
        <v>174</v>
      </c>
      <c r="F148" s="1">
        <v>31000</v>
      </c>
      <c r="G148">
        <f xml:space="preserve"> 129 + 240</f>
        <v>369</v>
      </c>
      <c r="H148">
        <f xml:space="preserve"> 2.66 + 16</f>
        <v>18.66</v>
      </c>
      <c r="I148">
        <f xml:space="preserve"> 0.28 + 13</f>
        <v>13.28</v>
      </c>
      <c r="J148">
        <f xml:space="preserve"> 27.9 + 13</f>
        <v>40.9</v>
      </c>
    </row>
    <row r="149" spans="1:10" x14ac:dyDescent="0.25">
      <c r="A149">
        <v>147</v>
      </c>
      <c r="C149" t="s">
        <v>175</v>
      </c>
      <c r="F149" s="1">
        <v>31000</v>
      </c>
      <c r="G149">
        <f xml:space="preserve"> 129 + 255</f>
        <v>384</v>
      </c>
      <c r="H149">
        <f xml:space="preserve"> 2.66 + 18</f>
        <v>20.66</v>
      </c>
      <c r="I149">
        <f xml:space="preserve"> 0.28 + 13.5</f>
        <v>13.78</v>
      </c>
      <c r="J149">
        <f xml:space="preserve"> 27.9 + 15</f>
        <v>42.9</v>
      </c>
    </row>
    <row r="150" spans="1:10" x14ac:dyDescent="0.25">
      <c r="A150">
        <v>148</v>
      </c>
      <c r="C150" s="3" t="s">
        <v>176</v>
      </c>
      <c r="D150" s="3"/>
      <c r="E150" s="3"/>
      <c r="F150" s="1">
        <v>34000</v>
      </c>
      <c r="G150">
        <f xml:space="preserve"> 129 + 190</f>
        <v>319</v>
      </c>
      <c r="H150">
        <f xml:space="preserve"> 2.66 + 13</f>
        <v>15.66</v>
      </c>
      <c r="I150">
        <f xml:space="preserve"> 0.28 + 12</f>
        <v>12.28</v>
      </c>
      <c r="J150">
        <f xml:space="preserve"> 27.9 + 6</f>
        <v>33.9</v>
      </c>
    </row>
    <row r="151" spans="1:10" x14ac:dyDescent="0.25">
      <c r="A151">
        <v>149</v>
      </c>
      <c r="C151" s="3" t="s">
        <v>177</v>
      </c>
      <c r="D151" s="3"/>
      <c r="E151" s="3"/>
      <c r="F151" s="1">
        <v>34000</v>
      </c>
      <c r="G151">
        <f xml:space="preserve"> 129 + 175</f>
        <v>304</v>
      </c>
      <c r="H151">
        <f xml:space="preserve"> 2.66 + 14</f>
        <v>16.66</v>
      </c>
      <c r="I151">
        <f xml:space="preserve"> 0.28 + 9.5</f>
        <v>9.7799999999999994</v>
      </c>
      <c r="J151">
        <f xml:space="preserve"> 27.9 + 3.5</f>
        <v>31.4</v>
      </c>
    </row>
    <row r="152" spans="1:10" x14ac:dyDescent="0.25">
      <c r="A152">
        <v>150</v>
      </c>
      <c r="C152" s="3" t="s">
        <v>178</v>
      </c>
      <c r="D152" s="3"/>
      <c r="E152" s="3"/>
      <c r="F152" s="1">
        <v>34000</v>
      </c>
      <c r="G152">
        <f>129 + 168</f>
        <v>297</v>
      </c>
      <c r="H152">
        <f xml:space="preserve"> 2.66 + 14</f>
        <v>16.66</v>
      </c>
      <c r="I152">
        <f xml:space="preserve"> 0.28 + 8.5</f>
        <v>8.7799999999999994</v>
      </c>
      <c r="J152">
        <f xml:space="preserve"> 27.9 + 3</f>
        <v>30.9</v>
      </c>
    </row>
    <row r="153" spans="1:10" x14ac:dyDescent="0.25">
      <c r="A153">
        <v>151</v>
      </c>
      <c r="B153" t="s">
        <v>179</v>
      </c>
      <c r="C153" t="s">
        <v>180</v>
      </c>
      <c r="D153">
        <v>110.418139</v>
      </c>
      <c r="E153">
        <v>-7.6855880000000001</v>
      </c>
      <c r="F153" s="1">
        <v>23500</v>
      </c>
      <c r="G153">
        <v>120</v>
      </c>
      <c r="H153">
        <v>4.5</v>
      </c>
      <c r="I153">
        <v>7.5</v>
      </c>
      <c r="J153">
        <v>10</v>
      </c>
    </row>
    <row r="154" spans="1:10" x14ac:dyDescent="0.25">
      <c r="A154">
        <v>152</v>
      </c>
      <c r="C154" t="s">
        <v>181</v>
      </c>
      <c r="F154" s="1">
        <v>32500</v>
      </c>
      <c r="G154">
        <f xml:space="preserve"> 387/3</f>
        <v>129</v>
      </c>
      <c r="H154" s="2">
        <f xml:space="preserve"> 16.7/3</f>
        <v>5.5666666666666664</v>
      </c>
      <c r="I154" s="2">
        <f xml:space="preserve"> 9.38/3</f>
        <v>3.1266666666666669</v>
      </c>
      <c r="J154">
        <f xml:space="preserve"> 62.76/3</f>
        <v>20.919999999999998</v>
      </c>
    </row>
    <row r="155" spans="1:10" x14ac:dyDescent="0.25">
      <c r="A155">
        <v>153</v>
      </c>
      <c r="C155" t="s">
        <v>182</v>
      </c>
      <c r="F155" s="1">
        <v>28500</v>
      </c>
      <c r="G155">
        <v>132</v>
      </c>
      <c r="H155">
        <v>7.14</v>
      </c>
      <c r="I155">
        <v>7.41</v>
      </c>
      <c r="J155">
        <v>10.9</v>
      </c>
    </row>
    <row r="156" spans="1:10" x14ac:dyDescent="0.25">
      <c r="A156">
        <v>154</v>
      </c>
      <c r="C156" t="s">
        <v>183</v>
      </c>
      <c r="F156" s="1">
        <v>23500</v>
      </c>
      <c r="G156">
        <v>120</v>
      </c>
      <c r="H156">
        <v>6</v>
      </c>
      <c r="I156">
        <v>7</v>
      </c>
      <c r="J156">
        <v>9</v>
      </c>
    </row>
    <row r="157" spans="1:10" x14ac:dyDescent="0.25">
      <c r="A157">
        <v>155</v>
      </c>
      <c r="C157" t="s">
        <v>184</v>
      </c>
      <c r="F157" s="1">
        <v>23500</v>
      </c>
      <c r="G157">
        <v>125</v>
      </c>
      <c r="H157">
        <v>6.86</v>
      </c>
      <c r="I157">
        <v>6.97</v>
      </c>
      <c r="J157">
        <v>10.24</v>
      </c>
    </row>
    <row r="158" spans="1:10" x14ac:dyDescent="0.25">
      <c r="A158">
        <v>156</v>
      </c>
      <c r="B158" t="s">
        <v>185</v>
      </c>
      <c r="C158" t="s">
        <v>186</v>
      </c>
      <c r="D158">
        <v>110.408303</v>
      </c>
      <c r="E158">
        <v>-7.6816500000000003</v>
      </c>
      <c r="F158" s="1">
        <v>17000</v>
      </c>
      <c r="G158">
        <f xml:space="preserve"> 157</f>
        <v>157</v>
      </c>
      <c r="H158">
        <v>4.5</v>
      </c>
      <c r="I158">
        <v>4.3600000000000003</v>
      </c>
      <c r="J158">
        <v>25.06</v>
      </c>
    </row>
    <row r="159" spans="1:10" x14ac:dyDescent="0.25">
      <c r="A159">
        <v>157</v>
      </c>
      <c r="C159" s="3" t="s">
        <v>187</v>
      </c>
      <c r="D159" s="3"/>
      <c r="E159" s="3"/>
      <c r="F159" s="1">
        <v>20000</v>
      </c>
      <c r="G159">
        <f xml:space="preserve"> 230 + 93</f>
        <v>323</v>
      </c>
      <c r="H159">
        <f xml:space="preserve"> 2.66 + 6.48</f>
        <v>9.14</v>
      </c>
      <c r="I159">
        <f xml:space="preserve"> 0.28 + 7.33</f>
        <v>7.61</v>
      </c>
      <c r="J159">
        <f xml:space="preserve"> 31.74 + 0.42</f>
        <v>32.159999999999997</v>
      </c>
    </row>
    <row r="160" spans="1:10" x14ac:dyDescent="0.25">
      <c r="A160">
        <v>158</v>
      </c>
      <c r="C160" t="s">
        <v>188</v>
      </c>
      <c r="F160" s="1">
        <v>25000</v>
      </c>
      <c r="G160">
        <f xml:space="preserve"> 120 + 93</f>
        <v>213</v>
      </c>
      <c r="H160">
        <f xml:space="preserve"> 4.5 + 6.48</f>
        <v>10.98</v>
      </c>
      <c r="I160">
        <f xml:space="preserve"> 7.5 + 7.33</f>
        <v>14.83</v>
      </c>
      <c r="J160">
        <f xml:space="preserve"> 10 + 0.42</f>
        <v>10.42</v>
      </c>
    </row>
    <row r="161" spans="1:10" x14ac:dyDescent="0.25">
      <c r="A161">
        <v>159</v>
      </c>
      <c r="C161" t="s">
        <v>189</v>
      </c>
      <c r="F161" s="1">
        <v>38000</v>
      </c>
      <c r="G161">
        <f xml:space="preserve"> 129 + 159</f>
        <v>288</v>
      </c>
      <c r="H161">
        <f xml:space="preserve"> 2.66 + 10.83</f>
        <v>13.49</v>
      </c>
      <c r="I161">
        <f xml:space="preserve"> 0.28 + 9.68</f>
        <v>9.9599999999999991</v>
      </c>
      <c r="J161">
        <f xml:space="preserve"> 27.9 + 6.85</f>
        <v>34.75</v>
      </c>
    </row>
    <row r="162" spans="1:10" x14ac:dyDescent="0.25">
      <c r="A162">
        <v>160</v>
      </c>
      <c r="C162" t="s">
        <v>190</v>
      </c>
      <c r="F162" s="1">
        <v>22000</v>
      </c>
      <c r="G162">
        <f xml:space="preserve"> 129 + 31</f>
        <v>160</v>
      </c>
      <c r="H162">
        <f xml:space="preserve"> 2.66 + 1.68</f>
        <v>4.34</v>
      </c>
      <c r="I162">
        <f xml:space="preserve"> 0.28 + 1.02</f>
        <v>1.3</v>
      </c>
      <c r="J162">
        <f xml:space="preserve"> 27.9 + 2.88</f>
        <v>30.779999999999998</v>
      </c>
    </row>
    <row r="163" spans="1:10" x14ac:dyDescent="0.25">
      <c r="A163">
        <v>161</v>
      </c>
      <c r="C163" s="3" t="s">
        <v>191</v>
      </c>
      <c r="D163" s="3"/>
      <c r="E163" s="3"/>
      <c r="F163" s="1">
        <v>28000</v>
      </c>
      <c r="G163">
        <f xml:space="preserve"> 129 + 65</f>
        <v>194</v>
      </c>
      <c r="H163">
        <f xml:space="preserve"> 2.66 + 6.5</f>
        <v>9.16</v>
      </c>
      <c r="I163">
        <f xml:space="preserve"> 0.28 + 3.5</f>
        <v>3.7800000000000002</v>
      </c>
      <c r="J163">
        <f xml:space="preserve"> 27.9 + 4.5</f>
        <v>32.4</v>
      </c>
    </row>
    <row r="164" spans="1:10" x14ac:dyDescent="0.25">
      <c r="A164">
        <v>162</v>
      </c>
      <c r="C164" t="s">
        <v>192</v>
      </c>
      <c r="F164" s="1">
        <v>12999</v>
      </c>
      <c r="G164">
        <f xml:space="preserve"> 91</f>
        <v>91</v>
      </c>
      <c r="H164">
        <f xml:space="preserve"> 7.57</f>
        <v>7.57</v>
      </c>
      <c r="I164">
        <f xml:space="preserve"> 4.78</f>
        <v>4.78</v>
      </c>
      <c r="J164">
        <f xml:space="preserve"> 4.47</f>
        <v>4.47</v>
      </c>
    </row>
    <row r="165" spans="1:10" x14ac:dyDescent="0.25">
      <c r="A165">
        <v>163</v>
      </c>
      <c r="C165" t="s">
        <v>193</v>
      </c>
      <c r="F165" s="1">
        <v>11999</v>
      </c>
      <c r="G165">
        <f xml:space="preserve"> 130</f>
        <v>130</v>
      </c>
      <c r="H165">
        <f xml:space="preserve"> 9.96</f>
        <v>9.9600000000000009</v>
      </c>
      <c r="I165">
        <f xml:space="preserve"> 6.19</f>
        <v>6.19</v>
      </c>
      <c r="J165">
        <f xml:space="preserve"> 8.11</f>
        <v>8.11</v>
      </c>
    </row>
    <row r="166" spans="1:10" x14ac:dyDescent="0.25">
      <c r="A166">
        <v>164</v>
      </c>
      <c r="C166" t="s">
        <v>194</v>
      </c>
      <c r="F166" s="1">
        <v>25000</v>
      </c>
      <c r="G166">
        <f xml:space="preserve"> 163 + 144</f>
        <v>307</v>
      </c>
      <c r="H166">
        <f xml:space="preserve"> 16.53 + 2.76</f>
        <v>19.29</v>
      </c>
      <c r="I166">
        <f xml:space="preserve"> 8.67 + 0.23</f>
        <v>8.9</v>
      </c>
      <c r="J166">
        <f xml:space="preserve"> 5.6 + 31.76</f>
        <v>37.36</v>
      </c>
    </row>
    <row r="167" spans="1:10" x14ac:dyDescent="0.25">
      <c r="A167">
        <v>165</v>
      </c>
      <c r="C167" t="s">
        <v>195</v>
      </c>
      <c r="F167" s="1">
        <v>27000</v>
      </c>
      <c r="G167">
        <f xml:space="preserve"> 129 + 163</f>
        <v>292</v>
      </c>
      <c r="H167">
        <f xml:space="preserve"> 2.66 + 16.53</f>
        <v>19.190000000000001</v>
      </c>
      <c r="I167">
        <f xml:space="preserve"> 0.28 + 8.67</f>
        <v>8.9499999999999993</v>
      </c>
      <c r="J167">
        <f xml:space="preserve"> 27.9 + 5.6</f>
        <v>33.5</v>
      </c>
    </row>
    <row r="168" spans="1:10" x14ac:dyDescent="0.25">
      <c r="A168">
        <v>166</v>
      </c>
      <c r="C168" t="s">
        <v>196</v>
      </c>
      <c r="F168" s="1">
        <v>15000</v>
      </c>
      <c r="G168">
        <v>230</v>
      </c>
      <c r="H168">
        <v>6.58</v>
      </c>
      <c r="I168">
        <v>9.33</v>
      </c>
      <c r="J168">
        <v>31.74</v>
      </c>
    </row>
    <row r="169" spans="1:10" x14ac:dyDescent="0.25">
      <c r="A169">
        <v>167</v>
      </c>
      <c r="C169" t="s">
        <v>197</v>
      </c>
      <c r="F169" s="1">
        <v>22000</v>
      </c>
      <c r="G169">
        <v>191</v>
      </c>
      <c r="H169">
        <v>9.17</v>
      </c>
      <c r="I169">
        <v>4.17</v>
      </c>
      <c r="J169">
        <v>35</v>
      </c>
    </row>
    <row r="170" spans="1:10" x14ac:dyDescent="0.25">
      <c r="A170">
        <v>168</v>
      </c>
      <c r="C170" t="s">
        <v>198</v>
      </c>
      <c r="F170" s="1">
        <v>22000</v>
      </c>
      <c r="G170">
        <f xml:space="preserve"> 110</f>
        <v>110</v>
      </c>
      <c r="H170">
        <f xml:space="preserve"> 6.5</f>
        <v>6.5</v>
      </c>
      <c r="I170">
        <f xml:space="preserve"> 5</f>
        <v>5</v>
      </c>
      <c r="J170">
        <f xml:space="preserve"> 15</f>
        <v>15</v>
      </c>
    </row>
    <row r="171" spans="1:10" x14ac:dyDescent="0.25">
      <c r="A171">
        <v>169</v>
      </c>
      <c r="B171" t="s">
        <v>199</v>
      </c>
      <c r="C171" t="s">
        <v>200</v>
      </c>
      <c r="D171">
        <v>110.417699</v>
      </c>
      <c r="E171">
        <v>-7.6947299999999998</v>
      </c>
      <c r="F171" s="1">
        <v>25000</v>
      </c>
      <c r="G171">
        <v>422</v>
      </c>
      <c r="H171">
        <v>22.7</v>
      </c>
      <c r="I171">
        <v>23.53</v>
      </c>
      <c r="J171">
        <v>28.63</v>
      </c>
    </row>
    <row r="172" spans="1:10" x14ac:dyDescent="0.25">
      <c r="A172">
        <v>170</v>
      </c>
      <c r="C172" t="s">
        <v>201</v>
      </c>
      <c r="F172" s="1">
        <v>25000</v>
      </c>
      <c r="G172">
        <v>472</v>
      </c>
      <c r="H172">
        <v>40</v>
      </c>
      <c r="I172">
        <v>12</v>
      </c>
      <c r="J172">
        <v>51</v>
      </c>
    </row>
    <row r="173" spans="1:10" x14ac:dyDescent="0.25">
      <c r="A173">
        <v>171</v>
      </c>
      <c r="C173" t="s">
        <v>202</v>
      </c>
      <c r="F173" s="1">
        <v>19500</v>
      </c>
      <c r="G173">
        <v>158</v>
      </c>
      <c r="H173">
        <v>7.53</v>
      </c>
      <c r="I173">
        <v>8</v>
      </c>
      <c r="J173">
        <v>13.65</v>
      </c>
    </row>
    <row r="174" spans="1:10" x14ac:dyDescent="0.25">
      <c r="A174">
        <v>172</v>
      </c>
      <c r="C174" t="s">
        <v>203</v>
      </c>
      <c r="F174" s="1">
        <v>25000</v>
      </c>
      <c r="G174">
        <f xml:space="preserve"> 163</f>
        <v>163</v>
      </c>
      <c r="H174">
        <f xml:space="preserve"> 9.96</f>
        <v>9.9600000000000009</v>
      </c>
      <c r="I174">
        <f xml:space="preserve"> 6.01</f>
        <v>6.01</v>
      </c>
      <c r="J174">
        <f xml:space="preserve"> 17.2</f>
        <v>17.2</v>
      </c>
    </row>
    <row r="175" spans="1:10" x14ac:dyDescent="0.25">
      <c r="A175">
        <v>173</v>
      </c>
      <c r="B175" t="s">
        <v>204</v>
      </c>
      <c r="C175" t="s">
        <v>205</v>
      </c>
      <c r="D175">
        <v>110.410466</v>
      </c>
      <c r="E175">
        <v>-7.6854149999999999</v>
      </c>
      <c r="F175" s="1">
        <v>19500</v>
      </c>
      <c r="G175">
        <f xml:space="preserve"> 129 + 170</f>
        <v>299</v>
      </c>
      <c r="H175">
        <f xml:space="preserve"> 2.66 + 12</f>
        <v>14.66</v>
      </c>
      <c r="I175">
        <f xml:space="preserve"> 0.28 + 10.5</f>
        <v>10.78</v>
      </c>
      <c r="J175">
        <f xml:space="preserve"> 27.9 + 3</f>
        <v>30.9</v>
      </c>
    </row>
    <row r="176" spans="1:10" x14ac:dyDescent="0.25">
      <c r="A176">
        <v>174</v>
      </c>
      <c r="C176" t="s">
        <v>206</v>
      </c>
      <c r="F176" s="1">
        <v>19500</v>
      </c>
      <c r="G176">
        <f xml:space="preserve"> 129 + 220</f>
        <v>349</v>
      </c>
      <c r="H176">
        <f xml:space="preserve"> 2.66 + 11.5</f>
        <v>14.16</v>
      </c>
      <c r="I176">
        <f xml:space="preserve"> 0.28 + 16.5</f>
        <v>16.78</v>
      </c>
      <c r="J176">
        <f xml:space="preserve"> 27.9 + 4.5</f>
        <v>32.4</v>
      </c>
    </row>
    <row r="177" spans="1:10" x14ac:dyDescent="0.25">
      <c r="A177">
        <v>175</v>
      </c>
      <c r="C177" t="s">
        <v>207</v>
      </c>
      <c r="F177" s="1">
        <v>16000</v>
      </c>
      <c r="G177">
        <v>194</v>
      </c>
      <c r="H177">
        <v>4.79</v>
      </c>
      <c r="I177">
        <v>4.07</v>
      </c>
      <c r="J177">
        <v>33.090000000000003</v>
      </c>
    </row>
    <row r="178" spans="1:10" x14ac:dyDescent="0.25">
      <c r="A178">
        <v>176</v>
      </c>
      <c r="C178" t="s">
        <v>208</v>
      </c>
      <c r="F178" s="1">
        <v>17000</v>
      </c>
      <c r="G178">
        <v>308</v>
      </c>
      <c r="H178">
        <v>5.19</v>
      </c>
      <c r="I178">
        <v>12.54</v>
      </c>
      <c r="J178">
        <v>42.88</v>
      </c>
    </row>
    <row r="179" spans="1:10" x14ac:dyDescent="0.25">
      <c r="A179">
        <v>177</v>
      </c>
      <c r="C179" t="s">
        <v>209</v>
      </c>
      <c r="F179" s="1">
        <v>16000</v>
      </c>
      <c r="G179">
        <v>195</v>
      </c>
      <c r="H179">
        <v>5.41</v>
      </c>
      <c r="I179">
        <v>4.41</v>
      </c>
      <c r="J179">
        <v>32.659999999999997</v>
      </c>
    </row>
    <row r="180" spans="1:10" x14ac:dyDescent="0.25">
      <c r="A180">
        <v>178</v>
      </c>
      <c r="B180" t="s">
        <v>210</v>
      </c>
      <c r="C180" t="s">
        <v>211</v>
      </c>
      <c r="D180">
        <v>110.41565900000001</v>
      </c>
      <c r="E180">
        <v>-7.7005970000000001</v>
      </c>
      <c r="F180" s="1">
        <v>34000</v>
      </c>
      <c r="G180">
        <f xml:space="preserve"> 129 +286</f>
        <v>415</v>
      </c>
      <c r="H180">
        <f xml:space="preserve"> 2.66 + 13.05</f>
        <v>15.71</v>
      </c>
      <c r="I180">
        <f xml:space="preserve"> 0.28 + 24.1</f>
        <v>24.380000000000003</v>
      </c>
      <c r="J180">
        <f xml:space="preserve"> 27.9 + 3.66</f>
        <v>31.56</v>
      </c>
    </row>
    <row r="181" spans="1:10" x14ac:dyDescent="0.25">
      <c r="A181">
        <v>179</v>
      </c>
      <c r="B181" t="s">
        <v>212</v>
      </c>
      <c r="C181" t="s">
        <v>213</v>
      </c>
      <c r="D181">
        <v>110.418071</v>
      </c>
      <c r="E181">
        <v>-7.6948480000000004</v>
      </c>
      <c r="F181" s="1">
        <v>30000</v>
      </c>
      <c r="G181">
        <v>120</v>
      </c>
      <c r="H181">
        <v>10.54</v>
      </c>
      <c r="I181">
        <v>6.33</v>
      </c>
      <c r="J181">
        <v>5.36</v>
      </c>
    </row>
    <row r="182" spans="1:10" x14ac:dyDescent="0.25">
      <c r="A182">
        <v>180</v>
      </c>
      <c r="C182" t="s">
        <v>214</v>
      </c>
      <c r="F182" s="1">
        <v>48000</v>
      </c>
      <c r="G182">
        <f xml:space="preserve"> 160</f>
        <v>160</v>
      </c>
      <c r="H182">
        <f xml:space="preserve"> 11</f>
        <v>11</v>
      </c>
      <c r="I182">
        <f xml:space="preserve"> 11</f>
        <v>11</v>
      </c>
      <c r="J182">
        <f xml:space="preserve"> 5</f>
        <v>5</v>
      </c>
    </row>
    <row r="183" spans="1:10" x14ac:dyDescent="0.25">
      <c r="A183">
        <v>181</v>
      </c>
      <c r="B183" t="s">
        <v>215</v>
      </c>
      <c r="C183" t="s">
        <v>216</v>
      </c>
      <c r="D183">
        <v>110.41694</v>
      </c>
      <c r="E183">
        <v>-7.6972009999999997</v>
      </c>
      <c r="F183" s="1">
        <v>18500</v>
      </c>
      <c r="G183">
        <f xml:space="preserve"> 135</f>
        <v>135</v>
      </c>
      <c r="H183">
        <f xml:space="preserve"> 9.5</f>
        <v>9.5</v>
      </c>
      <c r="I183">
        <f xml:space="preserve"> 8</f>
        <v>8</v>
      </c>
      <c r="J183">
        <f xml:space="preserve"> 6</f>
        <v>6</v>
      </c>
    </row>
    <row r="184" spans="1:10" x14ac:dyDescent="0.25">
      <c r="A184">
        <v>182</v>
      </c>
      <c r="C184" t="s">
        <v>217</v>
      </c>
      <c r="F184" s="1">
        <v>18500</v>
      </c>
      <c r="G184">
        <f xml:space="preserve"> 125</f>
        <v>125</v>
      </c>
      <c r="H184">
        <f xml:space="preserve"> 11</f>
        <v>11</v>
      </c>
      <c r="I184">
        <f xml:space="preserve"> 7.5</f>
        <v>7.5</v>
      </c>
      <c r="J184">
        <f xml:space="preserve"> 5</f>
        <v>5</v>
      </c>
    </row>
    <row r="185" spans="1:10" x14ac:dyDescent="0.25">
      <c r="A185">
        <v>183</v>
      </c>
      <c r="C185" t="s">
        <v>218</v>
      </c>
      <c r="F185" s="1">
        <v>18500</v>
      </c>
      <c r="G185">
        <f xml:space="preserve"> 115</f>
        <v>115</v>
      </c>
      <c r="H185">
        <f xml:space="preserve"> 10</f>
        <v>10</v>
      </c>
      <c r="I185">
        <f xml:space="preserve"> 7</f>
        <v>7</v>
      </c>
      <c r="J185">
        <f xml:space="preserve"> 4</f>
        <v>4</v>
      </c>
    </row>
    <row r="186" spans="1:10" x14ac:dyDescent="0.25">
      <c r="A186">
        <v>184</v>
      </c>
      <c r="C186" t="s">
        <v>219</v>
      </c>
      <c r="F186" s="1">
        <v>18500</v>
      </c>
      <c r="G186">
        <f xml:space="preserve"> 110</f>
        <v>110</v>
      </c>
      <c r="H186">
        <f xml:space="preserve"> 7.5</f>
        <v>7.5</v>
      </c>
      <c r="I186">
        <f xml:space="preserve"> 6</f>
        <v>6</v>
      </c>
      <c r="J186">
        <f xml:space="preserve"> 8.5</f>
        <v>8.5</v>
      </c>
    </row>
    <row r="187" spans="1:10" x14ac:dyDescent="0.25">
      <c r="A187">
        <v>185</v>
      </c>
      <c r="B187" t="s">
        <v>220</v>
      </c>
      <c r="C187" t="s">
        <v>221</v>
      </c>
      <c r="D187">
        <v>110.42334700000001</v>
      </c>
      <c r="E187">
        <v>-7.6857850000000001</v>
      </c>
      <c r="F187" s="1">
        <v>16000</v>
      </c>
      <c r="G187">
        <f xml:space="preserve"> 400 + 92</f>
        <v>492</v>
      </c>
      <c r="H187">
        <f xml:space="preserve"> 7 + 6.27</f>
        <v>13.27</v>
      </c>
      <c r="I187">
        <f xml:space="preserve"> 16 + 7.04</f>
        <v>23.04</v>
      </c>
      <c r="J187">
        <f xml:space="preserve"> 55 + 0.4</f>
        <v>55.4</v>
      </c>
    </row>
    <row r="188" spans="1:10" x14ac:dyDescent="0.25">
      <c r="A188">
        <v>186</v>
      </c>
      <c r="C188" t="s">
        <v>222</v>
      </c>
      <c r="F188" s="1">
        <v>16000</v>
      </c>
      <c r="G188">
        <v>300</v>
      </c>
      <c r="H188">
        <v>7</v>
      </c>
      <c r="I188">
        <v>11</v>
      </c>
      <c r="J188">
        <v>43</v>
      </c>
    </row>
    <row r="189" spans="1:10" x14ac:dyDescent="0.25">
      <c r="A189">
        <v>187</v>
      </c>
      <c r="C189" t="s">
        <v>223</v>
      </c>
      <c r="F189" s="1">
        <v>12800</v>
      </c>
      <c r="G189">
        <v>400</v>
      </c>
      <c r="H189">
        <v>7</v>
      </c>
      <c r="I189">
        <v>16</v>
      </c>
      <c r="J189">
        <v>55</v>
      </c>
    </row>
    <row r="190" spans="1:10" x14ac:dyDescent="0.25">
      <c r="A190">
        <v>188</v>
      </c>
      <c r="B190" t="s">
        <v>227</v>
      </c>
      <c r="C190" t="s">
        <v>226</v>
      </c>
      <c r="D190">
        <v>110.418868</v>
      </c>
      <c r="E190">
        <v>-7.6852460000000002</v>
      </c>
      <c r="F190" s="1">
        <v>14850</v>
      </c>
      <c r="G190">
        <f xml:space="preserve"> 307 + 15</f>
        <v>322</v>
      </c>
      <c r="H190">
        <f xml:space="preserve"> 12.84 + 1.09</f>
        <v>13.93</v>
      </c>
      <c r="I190">
        <f xml:space="preserve"> 5.62 + 0.68</f>
        <v>6.3</v>
      </c>
      <c r="J190">
        <f xml:space="preserve"> 53.71 + 1.39</f>
        <v>55.1</v>
      </c>
    </row>
    <row r="191" spans="1:10" x14ac:dyDescent="0.25">
      <c r="A191">
        <v>189</v>
      </c>
      <c r="C191" t="s">
        <v>228</v>
      </c>
      <c r="F191" s="1">
        <v>18350</v>
      </c>
      <c r="G191">
        <f xml:space="preserve"> 307 + 100</f>
        <v>407</v>
      </c>
      <c r="H191">
        <f xml:space="preserve"> 12.84 + 1</f>
        <v>13.84</v>
      </c>
      <c r="I191">
        <f xml:space="preserve"> 5.62 + 4</f>
        <v>9.620000000000001</v>
      </c>
      <c r="J191">
        <f xml:space="preserve"> 53.71 + 23</f>
        <v>76.710000000000008</v>
      </c>
    </row>
    <row r="192" spans="1:10" x14ac:dyDescent="0.25">
      <c r="A192">
        <v>190</v>
      </c>
      <c r="C192" t="s">
        <v>229</v>
      </c>
      <c r="F192" s="1">
        <v>18350</v>
      </c>
      <c r="G192">
        <f xml:space="preserve"> 307 + 113</f>
        <v>420</v>
      </c>
      <c r="H192">
        <f xml:space="preserve"> 12.84 + 6.97</f>
        <v>19.809999999999999</v>
      </c>
      <c r="I192">
        <f xml:space="preserve"> 5.62 + 9.28</f>
        <v>14.899999999999999</v>
      </c>
      <c r="J192">
        <f xml:space="preserve"> 53.71 + 0.36</f>
        <v>54.07</v>
      </c>
    </row>
    <row r="193" spans="1:10" x14ac:dyDescent="0.25">
      <c r="A193">
        <v>191</v>
      </c>
      <c r="C193" t="s">
        <v>230</v>
      </c>
      <c r="F193" s="1">
        <v>18350</v>
      </c>
      <c r="G193">
        <f xml:space="preserve"> 307 + 94</f>
        <v>401</v>
      </c>
      <c r="H193">
        <f xml:space="preserve"> 12.84 + 4.01</f>
        <v>16.850000000000001</v>
      </c>
      <c r="I193">
        <f xml:space="preserve"> 5.62 + 8.06</f>
        <v>13.68</v>
      </c>
      <c r="J193">
        <f xml:space="preserve"> 53.71 + 3.13</f>
        <v>56.84</v>
      </c>
    </row>
    <row r="194" spans="1:10" x14ac:dyDescent="0.25">
      <c r="A194">
        <v>192</v>
      </c>
      <c r="C194" t="s">
        <v>231</v>
      </c>
      <c r="F194" s="1">
        <v>9350</v>
      </c>
      <c r="G194">
        <f xml:space="preserve"> 300</f>
        <v>300</v>
      </c>
      <c r="H194">
        <f xml:space="preserve"> 7.78</f>
        <v>7.78</v>
      </c>
      <c r="I194">
        <f xml:space="preserve"> 12.57</f>
        <v>12.57</v>
      </c>
      <c r="J194">
        <f xml:space="preserve"> 41.52</f>
        <v>41.52</v>
      </c>
    </row>
    <row r="195" spans="1:10" x14ac:dyDescent="0.25">
      <c r="A195">
        <v>193</v>
      </c>
      <c r="C195" t="s">
        <v>232</v>
      </c>
      <c r="F195" s="1">
        <v>27850</v>
      </c>
      <c r="G195">
        <f xml:space="preserve"> 185</f>
        <v>185</v>
      </c>
      <c r="H195">
        <f xml:space="preserve"> 9.9</f>
        <v>9.9</v>
      </c>
      <c r="I195">
        <f xml:space="preserve"> 7.68</f>
        <v>7.68</v>
      </c>
      <c r="J195">
        <f xml:space="preserve"> 18.52</f>
        <v>18.52</v>
      </c>
    </row>
    <row r="196" spans="1:10" x14ac:dyDescent="0.25">
      <c r="A196">
        <v>194</v>
      </c>
      <c r="B196" t="s">
        <v>233</v>
      </c>
      <c r="C196" t="s">
        <v>234</v>
      </c>
      <c r="D196">
        <v>110.41882</v>
      </c>
      <c r="E196">
        <v>-7.6904979999999998</v>
      </c>
      <c r="F196" s="1">
        <v>22500</v>
      </c>
      <c r="G196">
        <f xml:space="preserve"> 168</f>
        <v>168</v>
      </c>
      <c r="H196">
        <f xml:space="preserve"> 12.92</f>
        <v>12.92</v>
      </c>
      <c r="I196">
        <f xml:space="preserve"> 7.49</f>
        <v>7.49</v>
      </c>
      <c r="J196">
        <f xml:space="preserve"> 11.25</f>
        <v>11.25</v>
      </c>
    </row>
    <row r="197" spans="1:10" x14ac:dyDescent="0.25">
      <c r="A197">
        <v>195</v>
      </c>
      <c r="C197" t="s">
        <v>235</v>
      </c>
      <c r="F197" s="1">
        <v>6500</v>
      </c>
      <c r="G197">
        <f xml:space="preserve"> 164</f>
        <v>164</v>
      </c>
      <c r="H197">
        <f xml:space="preserve"> 5.04</f>
        <v>5.04</v>
      </c>
      <c r="I197">
        <f xml:space="preserve"> 3.92</f>
        <v>3.92</v>
      </c>
      <c r="J197">
        <f xml:space="preserve"> 27.23</f>
        <v>27.23</v>
      </c>
    </row>
    <row r="198" spans="1:10" x14ac:dyDescent="0.25">
      <c r="A198">
        <v>196</v>
      </c>
      <c r="C198" t="s">
        <v>236</v>
      </c>
      <c r="F198" s="1">
        <v>6500</v>
      </c>
      <c r="G198">
        <f xml:space="preserve"> 243</f>
        <v>243</v>
      </c>
      <c r="H198">
        <f xml:space="preserve"> 6.49</f>
        <v>6.49</v>
      </c>
      <c r="I198">
        <f xml:space="preserve"> 7.01</f>
        <v>7.01</v>
      </c>
      <c r="J198">
        <f xml:space="preserve"> 38.46</f>
        <v>38.46</v>
      </c>
    </row>
    <row r="199" spans="1:10" x14ac:dyDescent="0.25">
      <c r="A199">
        <v>197</v>
      </c>
      <c r="B199" t="s">
        <v>237</v>
      </c>
      <c r="C199" t="s">
        <v>238</v>
      </c>
      <c r="D199">
        <v>110.41861900000001</v>
      </c>
      <c r="E199">
        <v>-7.6978900000000001</v>
      </c>
      <c r="F199" s="1">
        <v>25000</v>
      </c>
      <c r="G199">
        <f xml:space="preserve"> 274</f>
        <v>274</v>
      </c>
      <c r="H199">
        <f xml:space="preserve"> 3.48</f>
        <v>3.48</v>
      </c>
      <c r="I199">
        <f xml:space="preserve"> 14.06</f>
        <v>14.06</v>
      </c>
      <c r="J199">
        <f xml:space="preserve"> 35.56</f>
        <v>35.56</v>
      </c>
    </row>
    <row r="200" spans="1:10" x14ac:dyDescent="0.25">
      <c r="A200">
        <v>198</v>
      </c>
      <c r="C200" t="s">
        <v>239</v>
      </c>
      <c r="F200" s="1">
        <v>25000</v>
      </c>
      <c r="G200">
        <f xml:space="preserve"> 159</f>
        <v>159</v>
      </c>
      <c r="H200">
        <f xml:space="preserve"> 9.71</f>
        <v>9.7100000000000009</v>
      </c>
      <c r="I200">
        <f xml:space="preserve"> 4.27</f>
        <v>4.2699999999999996</v>
      </c>
      <c r="J200">
        <f xml:space="preserve"> 19.77</f>
        <v>19.77</v>
      </c>
    </row>
    <row r="201" spans="1:10" x14ac:dyDescent="0.25">
      <c r="A201">
        <v>199</v>
      </c>
      <c r="C201" t="s">
        <v>240</v>
      </c>
      <c r="F201" s="1">
        <v>26000</v>
      </c>
      <c r="G201">
        <f>80</f>
        <v>80</v>
      </c>
      <c r="H201">
        <f xml:space="preserve"> 6.73</f>
        <v>6.73</v>
      </c>
      <c r="I201">
        <f xml:space="preserve"> 4.64</f>
        <v>4.6399999999999997</v>
      </c>
      <c r="J201">
        <f xml:space="preserve"> 3.07</f>
        <v>3.07</v>
      </c>
    </row>
    <row r="202" spans="1:10" x14ac:dyDescent="0.25">
      <c r="A202">
        <v>200</v>
      </c>
      <c r="C202" t="s">
        <v>241</v>
      </c>
      <c r="F202" s="1">
        <v>26000</v>
      </c>
      <c r="G202">
        <f xml:space="preserve"> 107</f>
        <v>107</v>
      </c>
      <c r="H202">
        <f xml:space="preserve"> 11.27</f>
        <v>11.27</v>
      </c>
      <c r="I202">
        <f xml:space="preserve"> 1.23</f>
        <v>1.23</v>
      </c>
      <c r="J202">
        <f xml:space="preserve"> 11.72</f>
        <v>11.72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2026-08-13T16:49:33Z</dcterms:created>
  <dcterms:modified xsi:type="dcterms:W3CDTF">2026-08-17T05:57:49Z</dcterms:modified>
</cp:coreProperties>
</file>